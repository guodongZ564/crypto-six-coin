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-体系总览" sheetId="1" state="visible" r:id="rId1"/>
    <sheet name="2-打分规则表" sheetId="2" state="visible" r:id="rId2"/>
    <sheet name="3-ETH示例计算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3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FFFFFF"/>
      <sz val="16"/>
    </font>
    <font>
      <name val="Microsoft YaHei"/>
      <charset val="1"/>
      <family val="0"/>
      <b val="1"/>
      <color rgb="FFFFFFFF"/>
      <sz val="16"/>
    </font>
    <font>
      <name val="Noto Sans CJK SC"/>
      <family val="2"/>
      <color rgb="FFFFFFFF"/>
      <sz val="9"/>
    </font>
    <font>
      <name val="Microsoft YaHei"/>
      <charset val="1"/>
      <family val="0"/>
      <color rgb="FFFFFFFF"/>
      <sz val="9"/>
    </font>
    <font>
      <name val="Noto Sans CJK SC"/>
      <family val="2"/>
      <b val="1"/>
      <color rgb="FFFFFFFF"/>
      <sz val="11"/>
    </font>
    <font>
      <name val="Microsoft YaHei"/>
      <charset val="1"/>
      <family val="0"/>
      <color rgb="FF000000"/>
      <sz val="10"/>
    </font>
    <font>
      <name val="Noto Sans CJK SC"/>
      <family val="2"/>
      <color rgb="FF000000"/>
      <sz val="10"/>
    </font>
    <font>
      <name val="Microsoft YaHei"/>
      <charset val="1"/>
      <family val="0"/>
      <b val="1"/>
      <color rgb="FF000000"/>
      <sz val="10"/>
    </font>
    <font>
      <name val="Noto Sans CJK SC"/>
      <family val="2"/>
      <b val="1"/>
      <color rgb="FF000000"/>
      <sz val="10"/>
    </font>
    <font>
      <name val="Noto Sans CJK SC"/>
      <family val="2"/>
      <color rgb="FF6B7280"/>
      <sz val="10"/>
    </font>
    <font>
      <name val="Microsoft YaHei"/>
      <charset val="1"/>
      <family val="0"/>
      <color rgb="FF6B7280"/>
      <sz val="10"/>
    </font>
    <font>
      <name val="Microsoft YaHei"/>
      <charset val="1"/>
      <family val="0"/>
      <b val="1"/>
      <color rgb="FFFFFFFF"/>
      <sz val="11"/>
    </font>
    <font>
      <name val="Microsoft YaHei"/>
      <charset val="1"/>
      <family val="0"/>
      <b val="1"/>
      <color rgb="FFFFFFFF"/>
      <sz val="9"/>
    </font>
    <font>
      <name val="Noto Sans CJK SC"/>
      <family val="2"/>
      <b val="1"/>
      <color rgb="FFFFFFFF"/>
      <sz val="9"/>
    </font>
    <font>
      <name val="Microsoft YaHei"/>
      <charset val="1"/>
      <family val="0"/>
      <color rgb="FF000000"/>
      <sz val="9"/>
    </font>
    <font>
      <name val="Noto Sans CJK SC"/>
      <family val="2"/>
      <color rgb="FF000000"/>
      <sz val="9"/>
    </font>
    <font>
      <name val="Noto Sans CJK SC"/>
      <family val="2"/>
      <b val="1"/>
      <color rgb="FF000000"/>
      <sz val="9"/>
    </font>
    <font>
      <name val="Microsoft YaHei"/>
      <charset val="1"/>
      <family val="0"/>
      <b val="1"/>
      <color rgb="FF000000"/>
      <sz val="9"/>
    </font>
    <font>
      <name val="Noto Sans CJK SC"/>
      <family val="2"/>
      <b val="1"/>
      <color rgb="FFFFFFFF"/>
      <sz val="14"/>
    </font>
    <font>
      <name val="Microsoft YaHei"/>
      <charset val="1"/>
      <family val="0"/>
      <b val="1"/>
      <color rgb="FFFFFFFF"/>
      <sz val="14"/>
    </font>
    <font>
      <name val="Microsoft YaHei"/>
      <charset val="1"/>
      <family val="0"/>
      <b val="1"/>
      <color rgb="FFB00020"/>
      <sz val="9"/>
    </font>
    <font>
      <name val="Noto Sans CJK SC"/>
      <family val="2"/>
      <b val="1"/>
      <color rgb="FFB00020"/>
      <sz val="9"/>
    </font>
    <font>
      <name val="Noto Sans CJK SC"/>
      <family val="2"/>
      <color rgb="FF6B7280"/>
      <sz val="9"/>
    </font>
    <font>
      <name val="Microsoft YaHei"/>
      <charset val="1"/>
      <family val="0"/>
      <color rgb="FF6B7280"/>
      <sz val="9"/>
    </font>
    <font>
      <name val="Microsoft YaHei"/>
      <charset val="1"/>
      <family val="0"/>
      <b val="1"/>
      <color rgb="FF000000"/>
      <sz val="11"/>
    </font>
    <font>
      <name val="Microsoft YaHei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Microsoft YaHei"/>
      <charset val="1"/>
      <family val="0"/>
      <b val="1"/>
      <color rgb="FFFFFFFF"/>
      <sz val="13"/>
    </font>
    <font>
      <name val="Noto Sans CJK SC"/>
      <family val="2"/>
      <b val="1"/>
      <color rgb="FF000000"/>
      <sz val="11"/>
    </font>
    <font>
      <name val="Noto Sans CJK SC"/>
      <family val="2"/>
      <b val="1"/>
      <color rgb="FFB00020"/>
      <sz val="11"/>
    </font>
  </fonts>
  <fills count="14">
    <fill>
      <patternFill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2E4374"/>
        <bgColor rgb="FF1F2A44"/>
      </patternFill>
    </fill>
    <fill>
      <patternFill patternType="solid">
        <fgColor rgb="FF3B4CCA"/>
        <bgColor rgb="FF2E4374"/>
      </patternFill>
    </fill>
    <fill>
      <patternFill patternType="solid">
        <fgColor rgb="FFEAF0FB"/>
        <bgColor rgb="FFFFFFFF"/>
      </patternFill>
    </fill>
    <fill>
      <patternFill patternType="solid">
        <fgColor rgb="FFFFFFFF"/>
        <bgColor rgb="FFEAF0FB"/>
      </patternFill>
    </fill>
    <fill>
      <patternFill patternType="solid">
        <fgColor rgb="FF7A3BB5"/>
        <bgColor rgb="FF3B4CCA"/>
      </patternFill>
    </fill>
    <fill>
      <patternFill patternType="solid">
        <fgColor rgb="FF1E7A6E"/>
        <bgColor rgb="FF0B7A3B"/>
      </patternFill>
    </fill>
    <fill>
      <patternFill patternType="solid">
        <fgColor rgb="FFC77A0A"/>
        <bgColor rgb="FFFF9900"/>
      </patternFill>
    </fill>
    <fill>
      <patternFill patternType="solid">
        <fgColor rgb="FFB0344C"/>
        <bgColor rgb="FF993300"/>
      </patternFill>
    </fill>
    <fill>
      <patternFill patternType="solid">
        <fgColor rgb="FF2E6B34"/>
        <bgColor rgb="FF0B7A3B"/>
      </patternFill>
    </fill>
    <fill>
      <patternFill patternType="solid">
        <fgColor rgb="FFFFF2CC"/>
        <bgColor rgb="FFEAF0FB"/>
      </patternFill>
    </fill>
    <fill>
      <patternFill patternType="solid">
        <fgColor rgb="FF0B7A3B"/>
        <bgColor rgb="FF1E7A6E"/>
      </patternFill>
    </fill>
  </fills>
  <borders count="7">
    <border>
      <left/>
      <right/>
      <top/>
      <bottom/>
      <diagonal/>
    </border>
    <border>
      <left style="thin">
        <color rgb="FFC9D2E0"/>
      </left>
      <right style="thin">
        <color rgb="FFC9D2E0"/>
      </right>
      <top style="thin">
        <color rgb="FFC9D2E0"/>
      </top>
      <bottom style="thin">
        <color rgb="FFC9D2E0"/>
      </bottom>
      <diagonal/>
    </border>
    <border>
      <left style="thin">
        <color rgb="FFC9D2E0"/>
      </left>
      <right/>
      <top style="thin">
        <color rgb="FFC9D2E0"/>
      </top>
      <bottom style="thin">
        <color rgb="FFC9D2E0"/>
      </bottom>
      <diagonal/>
    </border>
    <border>
      <left/>
      <right/>
      <top style="thin">
        <color rgb="FFC9D2E0"/>
      </top>
      <bottom/>
      <diagonal/>
    </border>
    <border>
      <left/>
      <right style="thin">
        <color rgb="FFC9D2E0"/>
      </right>
      <top style="thin">
        <color rgb="FFC9D2E0"/>
      </top>
      <bottom/>
      <diagonal/>
    </border>
    <border>
      <left/>
      <right/>
      <top style="thin">
        <color rgb="FFC9D2E0"/>
      </top>
      <bottom style="thin">
        <color rgb="FFC9D2E0"/>
      </bottom>
      <diagonal/>
    </border>
    <border>
      <left/>
      <right style="thin">
        <color rgb="FFC9D2E0"/>
      </right>
      <top style="thin">
        <color rgb="FFC9D2E0"/>
      </top>
      <bottom style="thin">
        <color rgb="FFC9D2E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6" fillId="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20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22" fillId="2" borderId="0" applyAlignment="1" pivotButton="0" quotePrefix="0" xfId="0">
      <alignment horizontal="left" vertical="center"/>
    </xf>
    <xf numFmtId="0" fontId="17" fillId="3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left" vertical="center" wrapText="1"/>
    </xf>
    <xf numFmtId="0" fontId="24" fillId="5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left" vertical="center" wrapText="1"/>
    </xf>
    <xf numFmtId="0" fontId="17" fillId="7" borderId="1" applyAlignment="1" pivotButton="0" quotePrefix="0" xfId="0">
      <alignment horizontal="center" vertical="center" wrapText="1"/>
    </xf>
    <xf numFmtId="0" fontId="25" fillId="6" borderId="1" applyAlignment="1" pivotButton="0" quotePrefix="0" xfId="0">
      <alignment horizontal="left" vertical="center" wrapText="1"/>
    </xf>
    <xf numFmtId="0" fontId="25" fillId="5" borderId="1" applyAlignment="1" pivotButton="0" quotePrefix="0" xfId="0">
      <alignment horizontal="left" vertical="center" wrapText="1"/>
    </xf>
    <xf numFmtId="0" fontId="17" fillId="8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center" vertical="center" wrapText="1"/>
    </xf>
    <xf numFmtId="0" fontId="17" fillId="11" borderId="1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left" vertical="center"/>
    </xf>
    <xf numFmtId="0" fontId="26" fillId="6" borderId="0" applyAlignment="1" pivotButton="0" quotePrefix="0" xfId="0">
      <alignment horizontal="left" vertical="center" wrapText="1"/>
    </xf>
    <xf numFmtId="0" fontId="21" fillId="12" borderId="1" applyAlignment="1" pivotButton="0" quotePrefix="0" xfId="0">
      <alignment horizontal="center" vertical="center" wrapText="1"/>
    </xf>
    <xf numFmtId="0" fontId="26" fillId="5" borderId="1" applyAlignment="1" pivotButton="0" quotePrefix="0" xfId="0">
      <alignment horizontal="left" vertical="center" wrapText="1"/>
    </xf>
    <xf numFmtId="0" fontId="26" fillId="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general" vertical="bottom"/>
    </xf>
    <xf numFmtId="0" fontId="21" fillId="5" borderId="1" applyAlignment="1" pivotButton="0" quotePrefix="0" xfId="0">
      <alignment horizontal="center" vertical="center" wrapText="1"/>
    </xf>
    <xf numFmtId="2" fontId="18" fillId="0" borderId="1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left" vertical="center" wrapText="1"/>
    </xf>
    <xf numFmtId="0" fontId="28" fillId="5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29" fillId="3" borderId="0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general" vertical="bottom"/>
    </xf>
    <xf numFmtId="0" fontId="2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2" fontId="21" fillId="5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general" vertical="bottom"/>
    </xf>
    <xf numFmtId="0" fontId="26" fillId="0" borderId="1" applyAlignment="1" pivotButton="0" quotePrefix="0" xfId="0">
      <alignment horizontal="general" vertical="bottom"/>
    </xf>
    <xf numFmtId="0" fontId="8" fillId="13" borderId="0" applyAlignment="1" pivotButton="0" quotePrefix="0" xfId="0">
      <alignment horizontal="left" vertical="center" wrapText="1"/>
    </xf>
    <xf numFmtId="2" fontId="31" fillId="13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general" vertical="bottom"/>
    </xf>
    <xf numFmtId="0" fontId="33" fillId="12" borderId="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0" fontId="16" fillId="2" borderId="1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0" fillId="0" borderId="5" pivotButton="0" quotePrefix="0" xfId="0"/>
    <xf numFmtId="0" fontId="0" fillId="0" borderId="6" pivotButton="0" quotePrefix="0" xfId="0"/>
    <xf numFmtId="0" fontId="20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22" fillId="2" borderId="0" applyAlignment="1" pivotButton="0" quotePrefix="0" xfId="0">
      <alignment horizontal="left" vertical="center"/>
    </xf>
    <xf numFmtId="0" fontId="17" fillId="3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8" fillId="5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left" vertical="center" wrapText="1"/>
    </xf>
    <xf numFmtId="0" fontId="24" fillId="5" borderId="1" applyAlignment="1" pivotButton="0" quotePrefix="0" xfId="0">
      <alignment horizontal="left" vertical="center" wrapText="1"/>
    </xf>
    <xf numFmtId="0" fontId="18" fillId="5" borderId="1" applyAlignment="1" pivotButton="0" quotePrefix="0" xfId="0">
      <alignment horizontal="left" vertical="center" wrapText="1"/>
    </xf>
    <xf numFmtId="0" fontId="17" fillId="7" borderId="1" applyAlignment="1" pivotButton="0" quotePrefix="0" xfId="0">
      <alignment horizontal="center" vertical="center" wrapText="1"/>
    </xf>
    <xf numFmtId="0" fontId="25" fillId="6" borderId="1" applyAlignment="1" pivotButton="0" quotePrefix="0" xfId="0">
      <alignment horizontal="left" vertical="center" wrapText="1"/>
    </xf>
    <xf numFmtId="0" fontId="25" fillId="5" borderId="1" applyAlignment="1" pivotButton="0" quotePrefix="0" xfId="0">
      <alignment horizontal="left" vertical="center" wrapText="1"/>
    </xf>
    <xf numFmtId="0" fontId="17" fillId="8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center" vertical="center" wrapText="1"/>
    </xf>
    <xf numFmtId="0" fontId="17" fillId="11" borderId="1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left" vertical="center"/>
    </xf>
    <xf numFmtId="0" fontId="26" fillId="6" borderId="0" applyAlignment="1" pivotButton="0" quotePrefix="0" xfId="0">
      <alignment horizontal="left" vertical="center" wrapText="1"/>
    </xf>
    <xf numFmtId="0" fontId="21" fillId="12" borderId="1" applyAlignment="1" pivotButton="0" quotePrefix="0" xfId="0">
      <alignment horizontal="center" vertical="center" wrapText="1"/>
    </xf>
    <xf numFmtId="0" fontId="26" fillId="5" borderId="1" applyAlignment="1" pivotButton="0" quotePrefix="0" xfId="0">
      <alignment horizontal="left" vertical="center" wrapText="1"/>
    </xf>
    <xf numFmtId="0" fontId="26" fillId="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general" vertical="bottom"/>
    </xf>
    <xf numFmtId="0" fontId="21" fillId="5" borderId="1" applyAlignment="1" pivotButton="0" quotePrefix="0" xfId="0">
      <alignment horizontal="center" vertical="center" wrapText="1"/>
    </xf>
    <xf numFmtId="2" fontId="18" fillId="0" borderId="1" applyAlignment="1" pivotButton="0" quotePrefix="0" xfId="0">
      <alignment horizontal="center" vertical="center" wrapText="1"/>
    </xf>
    <xf numFmtId="0" fontId="26" fillId="0" borderId="1" applyAlignment="1" pivotButton="0" quotePrefix="0" xfId="0">
      <alignment horizontal="left" vertical="center" wrapText="1"/>
    </xf>
    <xf numFmtId="0" fontId="28" fillId="5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29" fillId="3" borderId="0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general" vertical="bottom"/>
    </xf>
    <xf numFmtId="0" fontId="27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/>
    </xf>
    <xf numFmtId="2" fontId="21" fillId="5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general" vertical="bottom"/>
    </xf>
    <xf numFmtId="0" fontId="26" fillId="0" borderId="1" applyAlignment="1" pivotButton="0" quotePrefix="0" xfId="0">
      <alignment horizontal="general" vertical="bottom"/>
    </xf>
    <xf numFmtId="0" fontId="8" fillId="13" borderId="0" applyAlignment="1" pivotButton="0" quotePrefix="0" xfId="0">
      <alignment horizontal="left" vertical="center" wrapText="1"/>
    </xf>
    <xf numFmtId="2" fontId="31" fillId="13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general" vertical="bottom"/>
    </xf>
    <xf numFmtId="0" fontId="33" fillId="12" borderId="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B00020"/>
      <rgbColor rgb="FF0B7A3B"/>
      <rgbColor rgb="FF000080"/>
      <rgbColor rgb="FF808000"/>
      <rgbColor rgb="FF800080"/>
      <rgbColor rgb="FF1E7A6E"/>
      <rgbColor rgb="FFC0C0C0"/>
      <rgbColor rgb="FF808080"/>
      <rgbColor rgb="FF9999FF"/>
      <rgbColor rgb="FFB0344C"/>
      <rgbColor rgb="FFFFF2CC"/>
      <rgbColor rgb="FFEAF0FB"/>
      <rgbColor rgb="FF660066"/>
      <rgbColor rgb="FFFF8080"/>
      <rgbColor rgb="FF0066CC"/>
      <rgbColor rgb="FFC9D2E0"/>
      <rgbColor rgb="FF000080"/>
      <rgbColor rgb="FFFF00FF"/>
      <rgbColor rgb="FFFFFF00"/>
      <rgbColor rgb="FF00FFFF"/>
      <rgbColor rgb="FF800080"/>
      <rgbColor rgb="FF800000"/>
      <rgbColor rgb="FF2E6B34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B4CCA"/>
      <rgbColor rgb="FF33CCCC"/>
      <rgbColor rgb="FF99CC00"/>
      <rgbColor rgb="FFFFCC00"/>
      <rgbColor rgb="FFFF9900"/>
      <rgbColor rgb="FFC77A0A"/>
      <rgbColor rgb="FF6B7280"/>
      <rgbColor rgb="FF969696"/>
      <rgbColor rgb="FF003366"/>
      <rgbColor rgb="FF339966"/>
      <rgbColor rgb="FF003300"/>
      <rgbColor rgb="FF333300"/>
      <rgbColor rgb="FF993300"/>
      <rgbColor rgb="FF7A3BB5"/>
      <rgbColor rgb="FF2E4374"/>
      <rgbColor rgb="FF1F2A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G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0" min="1" max="1"/>
    <col width="22" customWidth="1" style="60" min="2" max="3"/>
    <col width="16" customWidth="1" style="60" min="4" max="6"/>
    <col width="40" customWidth="1" style="60" min="7" max="7"/>
  </cols>
  <sheetData>
    <row r="2" ht="30" customHeight="1" s="61">
      <c r="B2" s="62" t="inlineStr">
        <is>
          <t>加密因子打分体系  ·  设计规则表</t>
        </is>
      </c>
    </row>
    <row r="3" ht="18" customHeight="1" s="61">
      <c r="B3" s="63" t="inlineStr">
        <is>
          <t>覆盖 BTC / ETH / SOL / UNI / LINK / LTC + 宏观 + 行业周期   |   即时策略站   |   与《六币种策略监控表》配套</t>
        </is>
      </c>
    </row>
    <row r="5" ht="21.75" customHeight="1" s="61">
      <c r="B5" s="64" t="inlineStr">
        <is>
          <t>一、核心逻辑（四步）</t>
        </is>
      </c>
    </row>
    <row r="6" ht="30" customHeight="1" s="61">
      <c r="B6" s="65" t="inlineStr">
        <is>
          <t>1) 单因子归一化：每个因子 → 方向分 [-2, +2]。+2 最看涨、-2 最看跌、0 中性。阈值见「2-打分规则表」。</t>
        </is>
      </c>
    </row>
    <row r="7" ht="15.75" customHeight="1" s="61">
      <c r="B7" s="65" t="inlineStr">
        <is>
          <t>2) 维度合成：因子按维度加权求和（权重列 3=高 / 2=中 / 1=低），得各维度分。</t>
        </is>
      </c>
    </row>
    <row r="8" ht="30" customHeight="1" s="61">
      <c r="B8" s="65" t="inlineStr">
        <is>
          <t>3) Regime 叠加：宏观+行业周期两层算出大环境系数，用来缩放单币信号（熊市里的买入信号打折、卖出信号加强）。</t>
        </is>
      </c>
    </row>
    <row r="9" ht="30" customHeight="1" s="61">
      <c r="B9" s="65" t="inlineStr">
        <is>
          <t>4) 分档 → 动作：单币合成分映射到 强烈看多 / 看多 / 中性 / 看空 / 强烈看空，并附置信度。</t>
        </is>
      </c>
    </row>
    <row r="11" ht="21.75" customHeight="1" s="61">
      <c r="B11" s="64" t="inlineStr">
        <is>
          <t>二、权重结构</t>
        </is>
      </c>
    </row>
    <row r="12" ht="15.75" customHeight="1" s="61">
      <c r="B12" s="66" t="inlineStr">
        <is>
          <t>Regime 层（不进单币加权，单独算环境系数）：  宏观 50%  +  行业周期 50%</t>
        </is>
      </c>
    </row>
    <row r="13" ht="30" customHeight="1" s="61">
      <c r="B13" s="67" t="inlineStr">
        <is>
          <t>单币层（四维度，和=100%）：  技术面 35%   |   资金面 25%   |   链上/基本面 20%   |   衍生品情绪 20%</t>
        </is>
      </c>
    </row>
    <row r="14" ht="30" customHeight="1" s="61">
      <c r="B14" s="68" t="inlineStr">
        <is>
          <t>维度内：因子贡献 = 因子分 × 因子相对权重(1~3)，维度分 = 加权平均。维度权重与因子权重都可在此调。</t>
        </is>
      </c>
    </row>
    <row r="16" ht="21.75" customHeight="1" s="61">
      <c r="B16" s="64" t="inlineStr">
        <is>
          <t>三、Regime 环境系数（做多/做空信号缩放）</t>
        </is>
      </c>
    </row>
    <row r="17" ht="15" customHeight="1" s="61">
      <c r="B17" s="69" t="inlineStr">
        <is>
          <t>regime_score 区间</t>
        </is>
      </c>
      <c r="C17" s="70" t="inlineStr">
        <is>
          <t>环境判定</t>
        </is>
      </c>
      <c r="D17" s="70" t="inlineStr">
        <is>
          <t>做多信号×</t>
        </is>
      </c>
      <c r="E17" s="70" t="inlineStr">
        <is>
          <t>做空信号×</t>
        </is>
      </c>
      <c r="F17" s="60" t="n"/>
    </row>
    <row r="18" ht="15" customHeight="1" s="61">
      <c r="B18" s="71" t="inlineStr">
        <is>
          <t>&gt; +0.3</t>
        </is>
      </c>
      <c r="C18" s="72" t="inlineStr">
        <is>
          <t>利多 / risk-on / 牛</t>
        </is>
      </c>
      <c r="D18" s="71" t="inlineStr">
        <is>
          <t>× 1.1</t>
        </is>
      </c>
      <c r="E18" s="71" t="inlineStr">
        <is>
          <t>× 0.8</t>
        </is>
      </c>
      <c r="F18" s="60" t="n"/>
    </row>
    <row r="19" ht="15" customHeight="1" s="61">
      <c r="B19" s="71" t="inlineStr">
        <is>
          <t>-0.3 ~ +0.3</t>
        </is>
      </c>
      <c r="C19" s="72" t="inlineStr">
        <is>
          <t>中性 / 震荡</t>
        </is>
      </c>
      <c r="D19" s="71" t="inlineStr">
        <is>
          <t>× 0.85</t>
        </is>
      </c>
      <c r="E19" s="71" t="inlineStr">
        <is>
          <t>× 0.85</t>
        </is>
      </c>
      <c r="F19" s="60" t="n"/>
    </row>
    <row r="20" ht="15" customHeight="1" s="61">
      <c r="B20" s="71" t="inlineStr">
        <is>
          <t>&lt; -0.3</t>
        </is>
      </c>
      <c r="C20" s="72" t="inlineStr">
        <is>
          <t>利空 / risk-off / 熊</t>
        </is>
      </c>
      <c r="D20" s="71" t="inlineStr">
        <is>
          <t>× 0.5</t>
        </is>
      </c>
      <c r="E20" s="71" t="inlineStr">
        <is>
          <t>× 1.2</t>
        </is>
      </c>
      <c r="F20" s="60" t="n"/>
    </row>
    <row r="21" ht="30" customHeight="1" s="61">
      <c r="B21" s="73" t="inlineStr">
        <is>
          <t>regime_score = (宏观维度分 + 行业周期维度分) 归一化到 [-1,+1]。它决定「敢不敢做、下多大仓」，而非单币方向本身。</t>
        </is>
      </c>
    </row>
    <row r="23" ht="21.75" customHeight="1" s="61">
      <c r="B23" s="64" t="inlineStr">
        <is>
          <t>四、合成分 → 动作 分档（单币，已乘 regime 系数，范围约 -2~+2）</t>
        </is>
      </c>
    </row>
    <row r="24" ht="15" customHeight="1" s="61">
      <c r="B24" s="70" t="inlineStr">
        <is>
          <t>合成分</t>
        </is>
      </c>
      <c r="C24" s="70" t="inlineStr">
        <is>
          <t>动作</t>
        </is>
      </c>
      <c r="D24" s="70" t="inlineStr">
        <is>
          <t>含义</t>
        </is>
      </c>
      <c r="E24" s="74" t="n"/>
      <c r="F24" s="74" t="n"/>
      <c r="G24" s="75" t="n"/>
    </row>
    <row r="25" ht="15" customHeight="1" s="61">
      <c r="B25" s="71" t="inlineStr">
        <is>
          <t>≥ +1.0</t>
        </is>
      </c>
      <c r="C25" s="76" t="inlineStr">
        <is>
          <t>强烈看多 / 加仓</t>
        </is>
      </c>
      <c r="D25" s="77" t="inlineStr">
        <is>
          <t>多因子同向共振，环境配合</t>
        </is>
      </c>
      <c r="E25" s="74" t="n"/>
      <c r="F25" s="74" t="n"/>
      <c r="G25" s="75" t="n"/>
    </row>
    <row r="26" ht="15" customHeight="1" s="61">
      <c r="B26" s="71" t="inlineStr">
        <is>
          <t>+0.4 ~ +1.0</t>
        </is>
      </c>
      <c r="C26" s="76" t="inlineStr">
        <is>
          <t>看多 / 建仓</t>
        </is>
      </c>
      <c r="D26" s="77" t="inlineStr">
        <is>
          <t>偏多，分批进场</t>
        </is>
      </c>
      <c r="E26" s="74" t="n"/>
      <c r="F26" s="74" t="n"/>
      <c r="G26" s="75" t="n"/>
    </row>
    <row r="27" ht="15" customHeight="1" s="61">
      <c r="B27" s="71" t="inlineStr">
        <is>
          <t>-0.4 ~ +0.4</t>
        </is>
      </c>
      <c r="C27" s="76" t="inlineStr">
        <is>
          <t>中性 / 观望</t>
        </is>
      </c>
      <c r="D27" s="77" t="inlineStr">
        <is>
          <t>信号分散或互相抵消，不动</t>
        </is>
      </c>
      <c r="E27" s="74" t="n"/>
      <c r="F27" s="74" t="n"/>
      <c r="G27" s="75" t="n"/>
    </row>
    <row r="28" ht="15" customHeight="1" s="61">
      <c r="B28" s="71" t="inlineStr">
        <is>
          <t>-1.0 ~ -0.4</t>
        </is>
      </c>
      <c r="C28" s="76" t="inlineStr">
        <is>
          <t>看空 / 减仓</t>
        </is>
      </c>
      <c r="D28" s="77" t="inlineStr">
        <is>
          <t>偏空，降低敞口</t>
        </is>
      </c>
      <c r="E28" s="74" t="n"/>
      <c r="F28" s="74" t="n"/>
      <c r="G28" s="75" t="n"/>
    </row>
    <row r="29" ht="15" customHeight="1" s="61">
      <c r="B29" s="71" t="inlineStr">
        <is>
          <t>≤ -1.0</t>
        </is>
      </c>
      <c r="C29" s="76" t="inlineStr">
        <is>
          <t>强烈看空 / 清仓</t>
        </is>
      </c>
      <c r="D29" s="77" t="inlineStr">
        <is>
          <t>多因子转空，环境恶化</t>
        </is>
      </c>
      <c r="E29" s="74" t="n"/>
      <c r="F29" s="74" t="n"/>
      <c r="G29" s="75" t="n"/>
    </row>
    <row r="30" ht="30" customHeight="1" s="61">
      <c r="B30" s="68" t="inlineStr">
        <is>
          <t>置信度 = 同向因子数 ÷ 有效因子数。&gt;70% 高、50~70% 中、&lt;70%以下信号可再打折。合成分给方向，置信度给力度。</t>
        </is>
      </c>
    </row>
    <row r="32" ht="21.75" customHeight="1" s="61">
      <c r="B32" s="64" t="inlineStr">
        <is>
          <t>五、使用与风控说明</t>
        </is>
      </c>
    </row>
    <row r="33" ht="30" customHeight="1" s="61">
      <c r="B33" s="78" t="inlineStr">
        <is>
          <t>• 反指因子（规则表标 ★反指）：数值越极端、方向越反向，是这套体系里最容易算反的地方，务必单独核对。</t>
        </is>
      </c>
    </row>
    <row r="34" ht="30" customHeight="1" s="61">
      <c r="B34" s="78" t="inlineStr">
        <is>
          <t>• 宏观为月频/事件驱动：数据公布日才更新该因子分，其余日保持上次值；异动=实际vs预期的意外幅度。</t>
        </is>
      </c>
    </row>
    <row r="35" ht="30" customHeight="1" s="61">
      <c r="B35" s="78" t="inlineStr">
        <is>
          <t>• 本表是「决策支持」，不是自动下单信号。合成分给的是偏向+置信度，扳机由你扣。上线前必须用历史回测校准权重与阈值，否则分数只是好看的数字。</t>
        </is>
      </c>
    </row>
    <row r="36" ht="30" customHeight="1" s="61">
      <c r="B36" s="78" t="inlineStr">
        <is>
          <t>• 阈值里的百分位（如 ETF 流入&gt;80分位）需要积累 90~180 天历史序列后才有意义，先跑起来攒数据。</t>
        </is>
      </c>
    </row>
    <row r="37" ht="15.75" customHeight="1" s="61">
      <c r="B37" s="68" t="inlineStr">
        <is>
          <t>• 黄色=可手动调参处（见「3-ETH示例计算」）。</t>
        </is>
      </c>
    </row>
  </sheetData>
  <mergeCells count="31">
    <mergeCell ref="B2:G2"/>
    <mergeCell ref="B14:G14"/>
    <mergeCell ref="D25:G25"/>
    <mergeCell ref="F19:G19"/>
    <mergeCell ref="B23:G23"/>
    <mergeCell ref="B8:G8"/>
    <mergeCell ref="D24:G24"/>
    <mergeCell ref="B13:G13"/>
    <mergeCell ref="D29:G29"/>
    <mergeCell ref="B34:G34"/>
    <mergeCell ref="D26:G26"/>
    <mergeCell ref="B37:G37"/>
    <mergeCell ref="B9:G9"/>
    <mergeCell ref="F18:G18"/>
    <mergeCell ref="F20:G20"/>
    <mergeCell ref="B30:G30"/>
    <mergeCell ref="F17:G17"/>
    <mergeCell ref="B33:G33"/>
    <mergeCell ref="B6:G6"/>
    <mergeCell ref="B5:G5"/>
    <mergeCell ref="B36:G36"/>
    <mergeCell ref="B32:G32"/>
    <mergeCell ref="B35:G35"/>
    <mergeCell ref="D27:G27"/>
    <mergeCell ref="B7:G7"/>
    <mergeCell ref="B3:G3"/>
    <mergeCell ref="B16:G16"/>
    <mergeCell ref="B12:G12"/>
    <mergeCell ref="B21:G21"/>
    <mergeCell ref="D28:G28"/>
    <mergeCell ref="B11:G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B2:L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2" customWidth="1" style="60" min="1" max="1"/>
    <col width="11" customWidth="1" style="60" min="2" max="2"/>
    <col width="22" customWidth="1" style="60" min="3" max="3"/>
    <col width="12" customWidth="1" style="60" min="4" max="5"/>
    <col width="46" customWidth="1" style="60" min="6" max="6"/>
    <col width="10" customWidth="1" style="60" min="7" max="7"/>
    <col width="6" customWidth="1" style="60" min="8" max="8"/>
    <col width="15" customWidth="1" style="60" min="9" max="9"/>
    <col width="9" customWidth="1" style="60" min="10" max="10"/>
    <col width="8" customWidth="1" style="60" min="11" max="11"/>
    <col width="16" customWidth="1" style="60" min="12" max="12"/>
  </cols>
  <sheetData>
    <row r="2" ht="25.5" customHeight="1" s="61">
      <c r="B2" s="79" t="inlineStr">
        <is>
          <t>打分规则表 · 全因子</t>
        </is>
      </c>
    </row>
    <row r="3" ht="30" customHeight="1" s="61">
      <c r="B3" s="80" t="inlineStr">
        <is>
          <t>维度</t>
        </is>
      </c>
      <c r="C3" s="80" t="inlineStr">
        <is>
          <t>因子 / 指标</t>
        </is>
      </c>
      <c r="D3" s="80" t="inlineStr">
        <is>
          <t>适用</t>
        </is>
      </c>
      <c r="E3" s="80" t="inlineStr">
        <is>
          <t>看涨方向</t>
        </is>
      </c>
      <c r="F3" s="80" t="inlineStr">
        <is>
          <t>归一化 / 阈值规则（→ 分值）</t>
        </is>
      </c>
      <c r="G3" s="80" t="inlineStr">
        <is>
          <t>分值区间</t>
        </is>
      </c>
      <c r="H3" s="80" t="inlineStr">
        <is>
          <t>权重</t>
        </is>
      </c>
      <c r="I3" s="80" t="inlineStr">
        <is>
          <t>数据源</t>
        </is>
      </c>
      <c r="J3" s="80" t="inlineStr">
        <is>
          <t>自动化</t>
        </is>
      </c>
      <c r="K3" s="80" t="inlineStr">
        <is>
          <t>更新</t>
        </is>
      </c>
      <c r="L3" s="80" t="inlineStr">
        <is>
          <t>备注</t>
        </is>
      </c>
    </row>
    <row r="4" ht="30" customHeight="1" s="61">
      <c r="B4" s="81" t="inlineStr">
        <is>
          <t>宏观</t>
        </is>
      </c>
      <c r="C4" s="82" t="inlineStr">
        <is>
          <t>核心CPI (MoM)</t>
        </is>
      </c>
      <c r="D4" s="83" t="inlineStr">
        <is>
          <t>全市场</t>
        </is>
      </c>
      <c r="E4" s="83" t="inlineStr">
        <is>
          <t>通胀降温</t>
        </is>
      </c>
      <c r="F4" s="82" t="inlineStr">
        <is>
          <t>实际&lt;预期-0.1%→+2；略低→+1；符合→0；略高→-1；&gt;预期+0.1%→-2</t>
        </is>
      </c>
      <c r="G4" s="84" t="inlineStr">
        <is>
          <t>±2</t>
        </is>
      </c>
      <c r="H4" s="84" t="inlineStr">
        <is>
          <t>3</t>
        </is>
      </c>
      <c r="I4" s="84" t="inlineStr">
        <is>
          <t>FRED/财经日历</t>
        </is>
      </c>
      <c r="J4" s="83" t="inlineStr">
        <is>
          <t>半自动</t>
        </is>
      </c>
      <c r="K4" s="83" t="inlineStr">
        <is>
          <t>月·事件</t>
        </is>
      </c>
      <c r="L4" s="82" t="inlineStr">
        <is>
          <t>预期差驱动</t>
        </is>
      </c>
    </row>
    <row r="5" ht="30" customHeight="1" s="61">
      <c r="B5" s="81" t="inlineStr">
        <is>
          <t>宏观</t>
        </is>
      </c>
      <c r="C5" s="85" t="inlineStr">
        <is>
          <t>核心PCE (MoM)</t>
        </is>
      </c>
      <c r="D5" s="86" t="inlineStr">
        <is>
          <t>全市场</t>
        </is>
      </c>
      <c r="E5" s="86" t="inlineStr">
        <is>
          <t>通胀降温</t>
        </is>
      </c>
      <c r="F5" s="85" t="inlineStr">
        <is>
          <t>同核心CPI</t>
        </is>
      </c>
      <c r="G5" s="87" t="inlineStr">
        <is>
          <t>±2</t>
        </is>
      </c>
      <c r="H5" s="87" t="inlineStr">
        <is>
          <t>3</t>
        </is>
      </c>
      <c r="I5" s="87" t="inlineStr">
        <is>
          <t>FRED</t>
        </is>
      </c>
      <c r="J5" s="86" t="inlineStr">
        <is>
          <t>自动</t>
        </is>
      </c>
      <c r="K5" s="86" t="inlineStr">
        <is>
          <t>月·事件</t>
        </is>
      </c>
      <c r="L5" s="88" t="inlineStr">
        <is>
          <t>Fed 最看重</t>
        </is>
      </c>
    </row>
    <row r="6" ht="30" customHeight="1" s="61">
      <c r="B6" s="81" t="inlineStr">
        <is>
          <t>宏观</t>
        </is>
      </c>
      <c r="C6" s="82" t="inlineStr">
        <is>
          <t>联邦基金利率/路径</t>
        </is>
      </c>
      <c r="D6" s="83" t="inlineStr">
        <is>
          <t>全市场</t>
        </is>
      </c>
      <c r="E6" s="83" t="inlineStr">
        <is>
          <t>降息</t>
        </is>
      </c>
      <c r="F6" s="82" t="inlineStr">
        <is>
          <t>降息或点阵转鸽→+2；偏鸽→+1；中性→0；偏鹰→-1；加息→-2</t>
        </is>
      </c>
      <c r="G6" s="84" t="inlineStr">
        <is>
          <t>±2</t>
        </is>
      </c>
      <c r="H6" s="84" t="inlineStr">
        <is>
          <t>3</t>
        </is>
      </c>
      <c r="I6" s="84" t="inlineStr">
        <is>
          <t>FRED/FedWatch</t>
        </is>
      </c>
      <c r="J6" s="83" t="inlineStr">
        <is>
          <t>半自动</t>
        </is>
      </c>
      <c r="K6" s="84" t="inlineStr">
        <is>
          <t>FOMC</t>
        </is>
      </c>
      <c r="L6" s="89" t="inlineStr">
        <is>
          <t>★regime 主锚</t>
        </is>
      </c>
    </row>
    <row r="7" ht="30" customHeight="1" s="61">
      <c r="B7" s="81" t="inlineStr">
        <is>
          <t>宏观</t>
        </is>
      </c>
      <c r="C7" s="88" t="inlineStr">
        <is>
          <t>M2 同比</t>
        </is>
      </c>
      <c r="D7" s="86" t="inlineStr">
        <is>
          <t>全市场</t>
        </is>
      </c>
      <c r="E7" s="86" t="inlineStr">
        <is>
          <t>扩张</t>
        </is>
      </c>
      <c r="F7" s="85" t="inlineStr">
        <is>
          <t>回升转正→+1.5；走平→0；收缩→-1.5</t>
        </is>
      </c>
      <c r="G7" s="87" t="inlineStr">
        <is>
          <t>±1.5</t>
        </is>
      </c>
      <c r="H7" s="87" t="inlineStr">
        <is>
          <t>2</t>
        </is>
      </c>
      <c r="I7" s="87" t="inlineStr">
        <is>
          <t>FRED</t>
        </is>
      </c>
      <c r="J7" s="86" t="inlineStr">
        <is>
          <t>自动</t>
        </is>
      </c>
      <c r="K7" s="86" t="inlineStr">
        <is>
          <t>月</t>
        </is>
      </c>
      <c r="L7" s="85" t="inlineStr">
        <is>
          <t>流动性总量</t>
        </is>
      </c>
    </row>
    <row r="8" ht="30" customHeight="1" s="61">
      <c r="B8" s="81" t="inlineStr">
        <is>
          <t>宏观</t>
        </is>
      </c>
      <c r="C8" s="82" t="inlineStr">
        <is>
          <t>美债10Y收益率</t>
        </is>
      </c>
      <c r="D8" s="83" t="inlineStr">
        <is>
          <t>全市场</t>
        </is>
      </c>
      <c r="E8" s="83" t="inlineStr">
        <is>
          <t>下行</t>
        </is>
      </c>
      <c r="F8" s="82" t="inlineStr">
        <is>
          <t>快速下行→+1；平稳→0；急升→-2</t>
        </is>
      </c>
      <c r="G8" s="84" t="inlineStr">
        <is>
          <t>+1~-2</t>
        </is>
      </c>
      <c r="H8" s="84" t="inlineStr">
        <is>
          <t>2</t>
        </is>
      </c>
      <c r="I8" s="84" t="inlineStr">
        <is>
          <t>FRED</t>
        </is>
      </c>
      <c r="J8" s="83" t="inlineStr">
        <is>
          <t>自动</t>
        </is>
      </c>
      <c r="K8" s="83" t="inlineStr">
        <is>
          <t>日</t>
        </is>
      </c>
      <c r="L8" s="82" t="inlineStr">
        <is>
          <t>急升杀估值</t>
        </is>
      </c>
    </row>
    <row r="9" ht="30" customHeight="1" s="61">
      <c r="B9" s="81" t="inlineStr">
        <is>
          <t>宏观</t>
        </is>
      </c>
      <c r="C9" s="88" t="inlineStr">
        <is>
          <t>ISM 制造业PMI</t>
        </is>
      </c>
      <c r="D9" s="86" t="inlineStr">
        <is>
          <t>全市场</t>
        </is>
      </c>
      <c r="E9" s="86" t="inlineStr">
        <is>
          <t>回升且&gt;50</t>
        </is>
      </c>
      <c r="F9" s="85" t="inlineStr">
        <is>
          <t>回升且&gt;50→+1；&lt;50但回升→0；走弱→-1</t>
        </is>
      </c>
      <c r="G9" s="87" t="inlineStr">
        <is>
          <t>±1</t>
        </is>
      </c>
      <c r="H9" s="87" t="inlineStr">
        <is>
          <t>1</t>
        </is>
      </c>
      <c r="I9" s="87" t="inlineStr">
        <is>
          <t>investing/FRED</t>
        </is>
      </c>
      <c r="J9" s="86" t="inlineStr">
        <is>
          <t>半自动</t>
        </is>
      </c>
      <c r="K9" s="86" t="inlineStr">
        <is>
          <t>月</t>
        </is>
      </c>
      <c r="L9" s="85" t="inlineStr">
        <is>
          <t>景气</t>
        </is>
      </c>
    </row>
    <row r="10" ht="30" customHeight="1" s="61">
      <c r="B10" s="81" t="inlineStr">
        <is>
          <t>宏观</t>
        </is>
      </c>
      <c r="C10" s="82" t="inlineStr">
        <is>
          <t>非农 NFP</t>
        </is>
      </c>
      <c r="D10" s="83" t="inlineStr">
        <is>
          <t>全市场</t>
        </is>
      </c>
      <c r="E10" s="83" t="inlineStr">
        <is>
          <t>适度</t>
        </is>
      </c>
      <c r="F10" s="82" t="inlineStr">
        <is>
          <t>崩溃(衰退)→-1；远超预期(推迟降息)→-1；温和→0</t>
        </is>
      </c>
      <c r="G10" s="84" t="inlineStr">
        <is>
          <t>-1~+0.5</t>
        </is>
      </c>
      <c r="H10" s="84" t="inlineStr">
        <is>
          <t>1</t>
        </is>
      </c>
      <c r="I10" s="84" t="inlineStr">
        <is>
          <t>FRED/日历</t>
        </is>
      </c>
      <c r="J10" s="83" t="inlineStr">
        <is>
          <t>半自动</t>
        </is>
      </c>
      <c r="K10" s="83" t="inlineStr">
        <is>
          <t>月</t>
        </is>
      </c>
      <c r="L10" s="82" t="inlineStr">
        <is>
          <t>双刃·意外</t>
        </is>
      </c>
    </row>
    <row r="11" ht="30" customHeight="1" s="61">
      <c r="B11" s="81" t="inlineStr">
        <is>
          <t>宏观</t>
        </is>
      </c>
      <c r="C11" s="88" t="inlineStr">
        <is>
          <t>PPI (MoM)</t>
        </is>
      </c>
      <c r="D11" s="86" t="inlineStr">
        <is>
          <t>全市场</t>
        </is>
      </c>
      <c r="E11" s="86" t="inlineStr">
        <is>
          <t>降温</t>
        </is>
      </c>
      <c r="F11" s="85" t="inlineStr">
        <is>
          <t>同CPI逻辑，权重减半</t>
        </is>
      </c>
      <c r="G11" s="87" t="inlineStr">
        <is>
          <t>±1</t>
        </is>
      </c>
      <c r="H11" s="87" t="inlineStr">
        <is>
          <t>1</t>
        </is>
      </c>
      <c r="I11" s="87" t="inlineStr">
        <is>
          <t>investing</t>
        </is>
      </c>
      <c r="J11" s="86" t="inlineStr">
        <is>
          <t>半自动</t>
        </is>
      </c>
      <c r="K11" s="86" t="inlineStr">
        <is>
          <t>月</t>
        </is>
      </c>
      <c r="L11" s="88" t="inlineStr">
        <is>
          <t>CPI 先行</t>
        </is>
      </c>
    </row>
    <row r="12" ht="30" customHeight="1" s="61">
      <c r="B12" s="81" t="inlineStr">
        <is>
          <t>宏观</t>
        </is>
      </c>
      <c r="C12" s="90" t="inlineStr">
        <is>
          <t>GDP (QoQ)</t>
        </is>
      </c>
      <c r="D12" s="83" t="inlineStr">
        <is>
          <t>全市场</t>
        </is>
      </c>
      <c r="E12" s="83" t="inlineStr">
        <is>
          <t>温和增长</t>
        </is>
      </c>
      <c r="F12" s="82" t="inlineStr">
        <is>
          <t>温和→0；衰退→-1（背景项）</t>
        </is>
      </c>
      <c r="G12" s="84" t="inlineStr">
        <is>
          <t>-1~+0.5</t>
        </is>
      </c>
      <c r="H12" s="84" t="inlineStr">
        <is>
          <t>1</t>
        </is>
      </c>
      <c r="I12" s="84" t="inlineStr">
        <is>
          <t>FRED</t>
        </is>
      </c>
      <c r="J12" s="83" t="inlineStr">
        <is>
          <t>自动</t>
        </is>
      </c>
      <c r="K12" s="83" t="inlineStr">
        <is>
          <t>季</t>
        </is>
      </c>
      <c r="L12" s="82" t="inlineStr">
        <is>
          <t>太慢</t>
        </is>
      </c>
    </row>
    <row r="13" ht="30" customHeight="1" s="61">
      <c r="B13" s="81" t="inlineStr">
        <is>
          <t>宏观</t>
        </is>
      </c>
      <c r="C13" s="85" t="inlineStr">
        <is>
          <t>全球央行降息比例</t>
        </is>
      </c>
      <c r="D13" s="86" t="inlineStr">
        <is>
          <t>全市场</t>
        </is>
      </c>
      <c r="E13" s="86" t="inlineStr">
        <is>
          <t>降息占优</t>
        </is>
      </c>
      <c r="F13" s="85" t="inlineStr">
        <is>
          <t>降息占比升→+1.5；走平→0；加息占优→-1.5</t>
        </is>
      </c>
      <c r="G13" s="87" t="inlineStr">
        <is>
          <t>±1.5</t>
        </is>
      </c>
      <c r="H13" s="87" t="inlineStr">
        <is>
          <t>2</t>
        </is>
      </c>
      <c r="I13" s="87" t="inlineStr">
        <is>
          <t>macromicro</t>
        </is>
      </c>
      <c r="J13" s="86" t="inlineStr">
        <is>
          <t>手动</t>
        </is>
      </c>
      <c r="K13" s="86" t="inlineStr">
        <is>
          <t>月</t>
        </is>
      </c>
      <c r="L13" s="85" t="inlineStr">
        <is>
          <t>全球流动性</t>
        </is>
      </c>
    </row>
    <row r="14" ht="30" customHeight="1" s="61">
      <c r="B14" s="91" t="inlineStr">
        <is>
          <t>行业周期</t>
        </is>
      </c>
      <c r="C14" s="82" t="inlineStr">
        <is>
          <t>牛市信号评分</t>
        </is>
      </c>
      <c r="D14" s="83" t="inlineStr">
        <is>
          <t>全市场</t>
        </is>
      </c>
      <c r="E14" s="83" t="inlineStr">
        <is>
          <t>高但未极端</t>
        </is>
      </c>
      <c r="F14" s="82" t="inlineStr">
        <is>
          <t>按看板读数线性映射；极端高警惕见顶</t>
        </is>
      </c>
      <c r="G14" s="84" t="inlineStr">
        <is>
          <t>±2</t>
        </is>
      </c>
      <c r="H14" s="84" t="inlineStr">
        <is>
          <t>3</t>
        </is>
      </c>
      <c r="I14" s="84" t="inlineStr">
        <is>
          <t>CryptoQuant</t>
        </is>
      </c>
      <c r="J14" s="83" t="inlineStr">
        <is>
          <t>半自动</t>
        </is>
      </c>
      <c r="K14" s="83" t="inlineStr">
        <is>
          <t>周</t>
        </is>
      </c>
      <c r="L14" s="82" t="inlineStr">
        <is>
          <t>综合温度</t>
        </is>
      </c>
    </row>
    <row r="15" ht="30" customHeight="1" s="61">
      <c r="B15" s="91" t="inlineStr">
        <is>
          <t>行业周期</t>
        </is>
      </c>
      <c r="C15" s="85" t="inlineStr">
        <is>
          <t>恐慌贪婪指数</t>
        </is>
      </c>
      <c r="D15" s="86" t="inlineStr">
        <is>
          <t>全市场</t>
        </is>
      </c>
      <c r="E15" s="86" t="inlineStr">
        <is>
          <t>极度恐慌</t>
        </is>
      </c>
      <c r="F15" s="88" t="inlineStr">
        <is>
          <t>&lt;20→+2；20-40→+1；40-60→0；60-80→-1；&gt;80→-2</t>
        </is>
      </c>
      <c r="G15" s="87" t="inlineStr">
        <is>
          <t>±2</t>
        </is>
      </c>
      <c r="H15" s="87" t="inlineStr">
        <is>
          <t>2</t>
        </is>
      </c>
      <c r="I15" s="87" t="inlineStr">
        <is>
          <t>Alternative.me</t>
        </is>
      </c>
      <c r="J15" s="86" t="inlineStr">
        <is>
          <t>自动</t>
        </is>
      </c>
      <c r="K15" s="86" t="inlineStr">
        <is>
          <t>日</t>
        </is>
      </c>
      <c r="L15" s="92" t="inlineStr">
        <is>
          <t>★反指</t>
        </is>
      </c>
    </row>
    <row r="16" ht="30" customHeight="1" s="61">
      <c r="B16" s="91" t="inlineStr">
        <is>
          <t>行业周期</t>
        </is>
      </c>
      <c r="C16" s="82" t="inlineStr">
        <is>
          <t>稳定币总量</t>
        </is>
      </c>
      <c r="D16" s="83" t="inlineStr">
        <is>
          <t>全市场</t>
        </is>
      </c>
      <c r="E16" s="83" t="inlineStr">
        <is>
          <t>扩张</t>
        </is>
      </c>
      <c r="F16" s="82" t="inlineStr">
        <is>
          <t>创新高/加速→+1.5；走平→0；收缩→-1.5</t>
        </is>
      </c>
      <c r="G16" s="84" t="inlineStr">
        <is>
          <t>±1.5</t>
        </is>
      </c>
      <c r="H16" s="84" t="inlineStr">
        <is>
          <t>2</t>
        </is>
      </c>
      <c r="I16" s="84" t="inlineStr">
        <is>
          <t>DefiLlama</t>
        </is>
      </c>
      <c r="J16" s="83" t="inlineStr">
        <is>
          <t>自动</t>
        </is>
      </c>
      <c r="K16" s="83" t="inlineStr">
        <is>
          <t>日</t>
        </is>
      </c>
      <c r="L16" s="82" t="inlineStr">
        <is>
          <t>场外弹药</t>
        </is>
      </c>
    </row>
    <row r="17" ht="30" customHeight="1" s="61">
      <c r="B17" s="91" t="inlineStr">
        <is>
          <t>行业周期</t>
        </is>
      </c>
      <c r="C17" s="88" t="inlineStr">
        <is>
          <t>BTC 价格 vs 200周MA</t>
        </is>
      </c>
      <c r="D17" s="86" t="inlineStr">
        <is>
          <t>全市场</t>
        </is>
      </c>
      <c r="E17" s="86" t="inlineStr">
        <is>
          <t>在上方</t>
        </is>
      </c>
      <c r="F17" s="85" t="inlineStr">
        <is>
          <t>在上方→+2；附近→0；跌破→-2</t>
        </is>
      </c>
      <c r="G17" s="87" t="inlineStr">
        <is>
          <t>±2</t>
        </is>
      </c>
      <c r="H17" s="87" t="inlineStr">
        <is>
          <t>3</t>
        </is>
      </c>
      <c r="I17" s="87" t="inlineStr">
        <is>
          <t>ccxt 计算</t>
        </is>
      </c>
      <c r="J17" s="86" t="inlineStr">
        <is>
          <t>自动</t>
        </is>
      </c>
      <c r="K17" s="86" t="inlineStr">
        <is>
          <t>周</t>
        </is>
      </c>
      <c r="L17" s="92" t="inlineStr">
        <is>
          <t>★牛熊分水岭</t>
        </is>
      </c>
    </row>
    <row r="18" ht="30" customHeight="1" s="61">
      <c r="B18" s="91" t="inlineStr">
        <is>
          <t>行业周期</t>
        </is>
      </c>
      <c r="C18" s="90" t="inlineStr">
        <is>
          <t>BTC 月线MACD</t>
        </is>
      </c>
      <c r="D18" s="83" t="inlineStr">
        <is>
          <t>全市场</t>
        </is>
      </c>
      <c r="E18" s="83" t="inlineStr">
        <is>
          <t>柱转正</t>
        </is>
      </c>
      <c r="F18" s="82" t="inlineStr">
        <is>
          <t>金叉/柱放大→+1.5；柱缩→0；死叉→-1.5</t>
        </is>
      </c>
      <c r="G18" s="84" t="inlineStr">
        <is>
          <t>±1.5</t>
        </is>
      </c>
      <c r="H18" s="84" t="inlineStr">
        <is>
          <t>2</t>
        </is>
      </c>
      <c r="I18" s="84" t="inlineStr">
        <is>
          <t>ccxt 计算</t>
        </is>
      </c>
      <c r="J18" s="83" t="inlineStr">
        <is>
          <t>自动</t>
        </is>
      </c>
      <c r="K18" s="83" t="inlineStr">
        <is>
          <t>月</t>
        </is>
      </c>
      <c r="L18" s="82" t="inlineStr">
        <is>
          <t>超长期动能</t>
        </is>
      </c>
    </row>
    <row r="19" ht="30" customHeight="1" s="61">
      <c r="B19" s="91" t="inlineStr">
        <is>
          <t>行业周期</t>
        </is>
      </c>
      <c r="C19" s="88" t="inlineStr">
        <is>
          <t>BTC 亏损供应比</t>
        </is>
      </c>
      <c r="D19" s="86" t="inlineStr">
        <is>
          <t>全市场</t>
        </is>
      </c>
      <c r="E19" s="86" t="inlineStr">
        <is>
          <t>高(近底)</t>
        </is>
      </c>
      <c r="F19" s="88" t="inlineStr">
        <is>
          <t>&gt;50%→+2；30-50→+1；10-30→0；&lt;10→-1</t>
        </is>
      </c>
      <c r="G19" s="87" t="inlineStr">
        <is>
          <t>+2~-1</t>
        </is>
      </c>
      <c r="H19" s="87" t="inlineStr">
        <is>
          <t>2</t>
        </is>
      </c>
      <c r="I19" s="87" t="inlineStr">
        <is>
          <t>CryptoQuant</t>
        </is>
      </c>
      <c r="J19" s="86" t="inlineStr">
        <is>
          <t>自动</t>
        </is>
      </c>
      <c r="K19" s="86" t="inlineStr">
        <is>
          <t>日</t>
        </is>
      </c>
      <c r="L19" s="92" t="inlineStr">
        <is>
          <t>★底部反指</t>
        </is>
      </c>
    </row>
    <row r="20" ht="30" customHeight="1" s="61">
      <c r="B20" s="91" t="inlineStr">
        <is>
          <t>行业周期</t>
        </is>
      </c>
      <c r="C20" s="90" t="inlineStr">
        <is>
          <t>BTC 利润供应%</t>
        </is>
      </c>
      <c r="D20" s="83" t="inlineStr">
        <is>
          <t>全市场</t>
        </is>
      </c>
      <c r="E20" s="83" t="inlineStr">
        <is>
          <t>非极端高</t>
        </is>
      </c>
      <c r="F20" s="90" t="inlineStr">
        <is>
          <t>&gt;95%→-2；80-95→-1；50-80→0；&lt;50→+1</t>
        </is>
      </c>
      <c r="G20" s="84" t="inlineStr">
        <is>
          <t>+1~-2</t>
        </is>
      </c>
      <c r="H20" s="84" t="inlineStr">
        <is>
          <t>2</t>
        </is>
      </c>
      <c r="I20" s="84" t="inlineStr">
        <is>
          <t>CryptoQuant</t>
        </is>
      </c>
      <c r="J20" s="83" t="inlineStr">
        <is>
          <t>自动</t>
        </is>
      </c>
      <c r="K20" s="83" t="inlineStr">
        <is>
          <t>日</t>
        </is>
      </c>
      <c r="L20" s="93" t="inlineStr">
        <is>
          <t>★顶部指标</t>
        </is>
      </c>
    </row>
    <row r="21" ht="30" customHeight="1" s="61">
      <c r="B21" s="91" t="inlineStr">
        <is>
          <t>行业周期</t>
        </is>
      </c>
      <c r="C21" s="85" t="inlineStr">
        <is>
          <t>牛熊周期指标</t>
        </is>
      </c>
      <c r="D21" s="86" t="inlineStr">
        <is>
          <t>全市场</t>
        </is>
      </c>
      <c r="E21" s="86" t="inlineStr">
        <is>
          <t>周期早中段</t>
        </is>
      </c>
      <c r="F21" s="85" t="inlineStr">
        <is>
          <t>按阶段映射：底部→+2 … 顶部→-2</t>
        </is>
      </c>
      <c r="G21" s="87" t="inlineStr">
        <is>
          <t>±2</t>
        </is>
      </c>
      <c r="H21" s="87" t="inlineStr">
        <is>
          <t>2</t>
        </is>
      </c>
      <c r="I21" s="87" t="inlineStr">
        <is>
          <t>CryptoQuant</t>
        </is>
      </c>
      <c r="J21" s="86" t="inlineStr">
        <is>
          <t>半自动</t>
        </is>
      </c>
      <c r="K21" s="86" t="inlineStr">
        <is>
          <t>周</t>
        </is>
      </c>
      <c r="L21" s="85" t="inlineStr">
        <is>
          <t>周期位置</t>
        </is>
      </c>
    </row>
    <row r="22" ht="30" customHeight="1" s="61">
      <c r="B22" s="91" t="inlineStr">
        <is>
          <t>行业周期</t>
        </is>
      </c>
      <c r="C22" s="82" t="inlineStr">
        <is>
          <t>山寨季指数</t>
        </is>
      </c>
      <c r="D22" s="83" t="inlineStr">
        <is>
          <t>山寨(非BTC)</t>
        </is>
      </c>
      <c r="E22" s="83" t="inlineStr">
        <is>
          <t>山寨季</t>
        </is>
      </c>
      <c r="F22" s="90" t="inlineStr">
        <is>
          <t>&gt;75→非BTC币+1.5；25-75→0；&lt;25→-1</t>
        </is>
      </c>
      <c r="G22" s="84" t="inlineStr">
        <is>
          <t>+1.5~-1</t>
        </is>
      </c>
      <c r="H22" s="84" t="inlineStr">
        <is>
          <t>2</t>
        </is>
      </c>
      <c r="I22" s="84" t="inlineStr">
        <is>
          <t>blockchaincenter</t>
        </is>
      </c>
      <c r="J22" s="83" t="inlineStr">
        <is>
          <t>半自动</t>
        </is>
      </c>
      <c r="K22" s="83" t="inlineStr">
        <is>
          <t>日</t>
        </is>
      </c>
      <c r="L22" s="82" t="inlineStr">
        <is>
          <t>轮动门控</t>
        </is>
      </c>
    </row>
    <row r="23" ht="30" customHeight="1" s="61">
      <c r="B23" s="91" t="inlineStr">
        <is>
          <t>行业周期</t>
        </is>
      </c>
      <c r="C23" s="88" t="inlineStr">
        <is>
          <t>BTC 市占率 dominance</t>
        </is>
      </c>
      <c r="D23" s="86" t="inlineStr">
        <is>
          <t>山寨(非BTC)</t>
        </is>
      </c>
      <c r="E23" s="86" t="inlineStr">
        <is>
          <t>下行</t>
        </is>
      </c>
      <c r="F23" s="85" t="inlineStr">
        <is>
          <t>下行→山寨+1；走平→0；上行→山寨-1</t>
        </is>
      </c>
      <c r="G23" s="87" t="inlineStr">
        <is>
          <t>±1</t>
        </is>
      </c>
      <c r="H23" s="87" t="inlineStr">
        <is>
          <t>2</t>
        </is>
      </c>
      <c r="I23" s="87" t="inlineStr">
        <is>
          <t>CoinGecko</t>
        </is>
      </c>
      <c r="J23" s="86" t="inlineStr">
        <is>
          <t>自动</t>
        </is>
      </c>
      <c r="K23" s="86" t="inlineStr">
        <is>
          <t>日</t>
        </is>
      </c>
      <c r="L23" s="85" t="inlineStr">
        <is>
          <t>资金集中度</t>
        </is>
      </c>
    </row>
    <row r="24" ht="30" customHeight="1" s="61">
      <c r="B24" s="94" t="inlineStr">
        <is>
          <t>资金面</t>
        </is>
      </c>
      <c r="C24" s="82" t="inlineStr">
        <is>
          <t>现货ETF 日净流入</t>
        </is>
      </c>
      <c r="D24" s="84" t="inlineStr">
        <is>
          <t>BTC/ETH/SOL</t>
        </is>
      </c>
      <c r="E24" s="83" t="inlineStr">
        <is>
          <t>净流入</t>
        </is>
      </c>
      <c r="F24" s="82" t="inlineStr">
        <is>
          <t>大额流入(&gt;80分位)→+2；温和→+1；持平→0；流出→-1；大额流出→-2</t>
        </is>
      </c>
      <c r="G24" s="84" t="inlineStr">
        <is>
          <t>±2</t>
        </is>
      </c>
      <c r="H24" s="84" t="inlineStr">
        <is>
          <t>3</t>
        </is>
      </c>
      <c r="I24" s="84" t="inlineStr">
        <is>
          <t>Farside/SoSoValue</t>
        </is>
      </c>
      <c r="J24" s="83" t="inlineStr">
        <is>
          <t>需爬取</t>
        </is>
      </c>
      <c r="K24" s="83" t="inlineStr">
        <is>
          <t>日</t>
        </is>
      </c>
      <c r="L24" s="82" t="inlineStr">
        <is>
          <t>机构盘</t>
        </is>
      </c>
    </row>
    <row r="25" ht="30" customHeight="1" s="61">
      <c r="B25" s="94" t="inlineStr">
        <is>
          <t>资金面</t>
        </is>
      </c>
      <c r="C25" s="88" t="inlineStr">
        <is>
          <t>ETF 总AUM 趋势</t>
        </is>
      </c>
      <c r="D25" s="87" t="inlineStr">
        <is>
          <t>BTC/ETH/SOL</t>
        </is>
      </c>
      <c r="E25" s="86" t="inlineStr">
        <is>
          <t>上升</t>
        </is>
      </c>
      <c r="F25" s="85" t="inlineStr">
        <is>
          <t>创新高→+1；走平→0；下降→-1</t>
        </is>
      </c>
      <c r="G25" s="87" t="inlineStr">
        <is>
          <t>±1</t>
        </is>
      </c>
      <c r="H25" s="87" t="inlineStr">
        <is>
          <t>1</t>
        </is>
      </c>
      <c r="I25" s="86" t="inlineStr">
        <is>
          <t>同上</t>
        </is>
      </c>
      <c r="J25" s="86" t="inlineStr">
        <is>
          <t>需爬取</t>
        </is>
      </c>
      <c r="K25" s="86" t="inlineStr">
        <is>
          <t>日</t>
        </is>
      </c>
      <c r="L25" s="85" t="inlineStr">
        <is>
          <t>存量</t>
        </is>
      </c>
    </row>
    <row r="26" ht="30" customHeight="1" s="61">
      <c r="B26" s="94" t="inlineStr">
        <is>
          <t>资金面</t>
        </is>
      </c>
      <c r="C26" s="82" t="inlineStr">
        <is>
          <t>交易所净流入流出</t>
        </is>
      </c>
      <c r="D26" s="83" t="inlineStr">
        <is>
          <t>各币</t>
        </is>
      </c>
      <c r="E26" s="83" t="inlineStr">
        <is>
          <t>净流出(提币)</t>
        </is>
      </c>
      <c r="F26" s="82" t="inlineStr">
        <is>
          <t>大额净流出→+1.5；温和→+0.5；持平→0；流入→-1</t>
        </is>
      </c>
      <c r="G26" s="84" t="inlineStr">
        <is>
          <t>+1.5~-1.5</t>
        </is>
      </c>
      <c r="H26" s="84" t="inlineStr">
        <is>
          <t>2</t>
        </is>
      </c>
      <c r="I26" s="84" t="inlineStr">
        <is>
          <t>CryptoQuant</t>
        </is>
      </c>
      <c r="J26" s="83" t="inlineStr">
        <is>
          <t>自动(Pro)</t>
        </is>
      </c>
      <c r="K26" s="83" t="inlineStr">
        <is>
          <t>日</t>
        </is>
      </c>
      <c r="L26" s="82" t="inlineStr">
        <is>
          <t>筹码去向</t>
        </is>
      </c>
    </row>
    <row r="27" ht="30" customHeight="1" s="61">
      <c r="B27" s="94" t="inlineStr">
        <is>
          <t>资金面</t>
        </is>
      </c>
      <c r="C27" s="85" t="inlineStr">
        <is>
          <t>成交量 vs 20日均量</t>
        </is>
      </c>
      <c r="D27" s="86" t="inlineStr">
        <is>
          <t>各币</t>
        </is>
      </c>
      <c r="E27" s="86" t="inlineStr">
        <is>
          <t>放量配合方向</t>
        </is>
      </c>
      <c r="F27" s="85" t="inlineStr">
        <is>
          <t>放量+涨→+1；放量+跌→-1；缩量→信号×0.5</t>
        </is>
      </c>
      <c r="G27" s="87" t="inlineStr">
        <is>
          <t>±1</t>
        </is>
      </c>
      <c r="H27" s="87" t="inlineStr">
        <is>
          <t>2</t>
        </is>
      </c>
      <c r="I27" s="87" t="inlineStr">
        <is>
          <t>ccxt 计算</t>
        </is>
      </c>
      <c r="J27" s="86" t="inlineStr">
        <is>
          <t>自动</t>
        </is>
      </c>
      <c r="K27" s="86" t="inlineStr">
        <is>
          <t>日</t>
        </is>
      </c>
      <c r="L27" s="85" t="inlineStr">
        <is>
          <t>确认因子</t>
        </is>
      </c>
    </row>
    <row r="28" ht="30" customHeight="1" s="61">
      <c r="B28" s="94" t="inlineStr">
        <is>
          <t>资金面</t>
        </is>
      </c>
      <c r="C28" s="82" t="inlineStr">
        <is>
          <t>合约资金流</t>
        </is>
      </c>
      <c r="D28" s="84" t="inlineStr">
        <is>
          <t>BTC</t>
        </is>
      </c>
      <c r="E28" s="83" t="inlineStr">
        <is>
          <t>净流入</t>
        </is>
      </c>
      <c r="F28" s="82" t="inlineStr">
        <is>
          <t>期货净流入配合价格→+1 … 净流出→-1</t>
        </is>
      </c>
      <c r="G28" s="84" t="inlineStr">
        <is>
          <t>±1</t>
        </is>
      </c>
      <c r="H28" s="84" t="inlineStr">
        <is>
          <t>1</t>
        </is>
      </c>
      <c r="I28" s="84" t="inlineStr">
        <is>
          <t>CryptoQuant</t>
        </is>
      </c>
      <c r="J28" s="83" t="inlineStr">
        <is>
          <t>自动</t>
        </is>
      </c>
      <c r="K28" s="83" t="inlineStr">
        <is>
          <t>日</t>
        </is>
      </c>
      <c r="L28" s="82" t="inlineStr">
        <is>
          <t>杠杆资金</t>
        </is>
      </c>
    </row>
    <row r="29" ht="30" customHeight="1" s="61">
      <c r="B29" s="95" t="inlineStr">
        <is>
          <t>技术面</t>
        </is>
      </c>
      <c r="C29" s="82" t="inlineStr">
        <is>
          <t>价格 vs MA50</t>
        </is>
      </c>
      <c r="D29" s="83" t="inlineStr">
        <is>
          <t>各币</t>
        </is>
      </c>
      <c r="E29" s="83" t="inlineStr">
        <is>
          <t>在上方</t>
        </is>
      </c>
      <c r="F29" s="82" t="inlineStr">
        <is>
          <t>在上方→+1；跌破→-1</t>
        </is>
      </c>
      <c r="G29" s="84" t="inlineStr">
        <is>
          <t>±1</t>
        </is>
      </c>
      <c r="H29" s="84" t="inlineStr">
        <is>
          <t>2</t>
        </is>
      </c>
      <c r="I29" s="84" t="inlineStr">
        <is>
          <t>ccxt</t>
        </is>
      </c>
      <c r="J29" s="83" t="inlineStr">
        <is>
          <t>自动</t>
        </is>
      </c>
      <c r="K29" s="83" t="inlineStr">
        <is>
          <t>日</t>
        </is>
      </c>
      <c r="L29" s="82" t="inlineStr">
        <is>
          <t>短期趋势</t>
        </is>
      </c>
    </row>
    <row r="30" ht="30" customHeight="1" s="61">
      <c r="B30" s="95" t="inlineStr">
        <is>
          <t>技术面</t>
        </is>
      </c>
      <c r="C30" s="85" t="inlineStr">
        <is>
          <t>价格 vs MA200</t>
        </is>
      </c>
      <c r="D30" s="86" t="inlineStr">
        <is>
          <t>各币</t>
        </is>
      </c>
      <c r="E30" s="86" t="inlineStr">
        <is>
          <t>在上方</t>
        </is>
      </c>
      <c r="F30" s="85" t="inlineStr">
        <is>
          <t>在上方→+1.5；跌破→-1.5</t>
        </is>
      </c>
      <c r="G30" s="87" t="inlineStr">
        <is>
          <t>±1.5</t>
        </is>
      </c>
      <c r="H30" s="87" t="inlineStr">
        <is>
          <t>3</t>
        </is>
      </c>
      <c r="I30" s="87" t="inlineStr">
        <is>
          <t>ccxt</t>
        </is>
      </c>
      <c r="J30" s="86" t="inlineStr">
        <is>
          <t>自动</t>
        </is>
      </c>
      <c r="K30" s="86" t="inlineStr">
        <is>
          <t>日</t>
        </is>
      </c>
      <c r="L30" s="92" t="inlineStr">
        <is>
          <t>★中期趋势</t>
        </is>
      </c>
    </row>
    <row r="31" ht="30" customHeight="1" s="61">
      <c r="B31" s="95" t="inlineStr">
        <is>
          <t>技术面</t>
        </is>
      </c>
      <c r="C31" s="90" t="inlineStr">
        <is>
          <t>MA50 vs MA200 排列</t>
        </is>
      </c>
      <c r="D31" s="83" t="inlineStr">
        <is>
          <t>各币</t>
        </is>
      </c>
      <c r="E31" s="83" t="inlineStr">
        <is>
          <t>金叉</t>
        </is>
      </c>
      <c r="F31" s="82" t="inlineStr">
        <is>
          <t>多头排列→+1；死叉排列→-1</t>
        </is>
      </c>
      <c r="G31" s="84" t="inlineStr">
        <is>
          <t>±1</t>
        </is>
      </c>
      <c r="H31" s="84" t="inlineStr">
        <is>
          <t>2</t>
        </is>
      </c>
      <c r="I31" s="84" t="inlineStr">
        <is>
          <t>ccxt</t>
        </is>
      </c>
      <c r="J31" s="83" t="inlineStr">
        <is>
          <t>自动</t>
        </is>
      </c>
      <c r="K31" s="83" t="inlineStr">
        <is>
          <t>日</t>
        </is>
      </c>
      <c r="L31" s="82" t="inlineStr">
        <is>
          <t>均线结构</t>
        </is>
      </c>
    </row>
    <row r="32" ht="30" customHeight="1" s="61">
      <c r="B32" s="95" t="inlineStr">
        <is>
          <t>技术面</t>
        </is>
      </c>
      <c r="C32" s="88" t="inlineStr">
        <is>
          <t>RSI 日线</t>
        </is>
      </c>
      <c r="D32" s="86" t="inlineStr">
        <is>
          <t>各币</t>
        </is>
      </c>
      <c r="E32" s="86" t="inlineStr">
        <is>
          <t>超卖</t>
        </is>
      </c>
      <c r="F32" s="88" t="inlineStr">
        <is>
          <t>&lt;30→+1.5；30-45→+0.5；45-55→0；55-70→-0.5；&gt;70→-1.5</t>
        </is>
      </c>
      <c r="G32" s="87" t="inlineStr">
        <is>
          <t>±1.5</t>
        </is>
      </c>
      <c r="H32" s="87" t="inlineStr">
        <is>
          <t>2</t>
        </is>
      </c>
      <c r="I32" s="87" t="inlineStr">
        <is>
          <t>ccxt</t>
        </is>
      </c>
      <c r="J32" s="86" t="inlineStr">
        <is>
          <t>自动</t>
        </is>
      </c>
      <c r="K32" s="86" t="inlineStr">
        <is>
          <t>日</t>
        </is>
      </c>
      <c r="L32" s="85" t="inlineStr">
        <is>
          <t>强趋势中放宽</t>
        </is>
      </c>
    </row>
    <row r="33" ht="30" customHeight="1" s="61">
      <c r="B33" s="95" t="inlineStr">
        <is>
          <t>技术面</t>
        </is>
      </c>
      <c r="C33" s="90" t="inlineStr">
        <is>
          <t>RSI 4H</t>
        </is>
      </c>
      <c r="D33" s="83" t="inlineStr">
        <is>
          <t>各币</t>
        </is>
      </c>
      <c r="E33" s="83" t="inlineStr">
        <is>
          <t>超卖</t>
        </is>
      </c>
      <c r="F33" s="82" t="inlineStr">
        <is>
          <t>同RSI日线，权重减半</t>
        </is>
      </c>
      <c r="G33" s="84" t="inlineStr">
        <is>
          <t>±1.5</t>
        </is>
      </c>
      <c r="H33" s="84" t="inlineStr">
        <is>
          <t>1</t>
        </is>
      </c>
      <c r="I33" s="84" t="inlineStr">
        <is>
          <t>ccxt</t>
        </is>
      </c>
      <c r="J33" s="83" t="inlineStr">
        <is>
          <t>自动</t>
        </is>
      </c>
      <c r="K33" s="83" t="inlineStr">
        <is>
          <t>日</t>
        </is>
      </c>
      <c r="L33" s="82" t="inlineStr">
        <is>
          <t>短线</t>
        </is>
      </c>
    </row>
    <row r="34" ht="30" customHeight="1" s="61">
      <c r="B34" s="95" t="inlineStr">
        <is>
          <t>技术面</t>
        </is>
      </c>
      <c r="C34" s="88" t="inlineStr">
        <is>
          <t>MACD 日线柱</t>
        </is>
      </c>
      <c r="D34" s="86" t="inlineStr">
        <is>
          <t>各币</t>
        </is>
      </c>
      <c r="E34" s="86" t="inlineStr">
        <is>
          <t>柱转正</t>
        </is>
      </c>
      <c r="F34" s="85" t="inlineStr">
        <is>
          <t>柱转正/放大→+1；缩→0；转负→-1</t>
        </is>
      </c>
      <c r="G34" s="87" t="inlineStr">
        <is>
          <t>±1</t>
        </is>
      </c>
      <c r="H34" s="87" t="inlineStr">
        <is>
          <t>2</t>
        </is>
      </c>
      <c r="I34" s="87" t="inlineStr">
        <is>
          <t>ccxt</t>
        </is>
      </c>
      <c r="J34" s="86" t="inlineStr">
        <is>
          <t>自动</t>
        </is>
      </c>
      <c r="K34" s="86" t="inlineStr">
        <is>
          <t>日</t>
        </is>
      </c>
      <c r="L34" s="85" t="inlineStr">
        <is>
          <t>动能</t>
        </is>
      </c>
    </row>
    <row r="35" ht="30" customHeight="1" s="61">
      <c r="B35" s="95" t="inlineStr">
        <is>
          <t>技术面</t>
        </is>
      </c>
      <c r="C35" s="82" t="inlineStr">
        <is>
          <t>布林带位置</t>
        </is>
      </c>
      <c r="D35" s="83" t="inlineStr">
        <is>
          <t>各币</t>
        </is>
      </c>
      <c r="E35" s="83" t="inlineStr">
        <is>
          <t>触下轨</t>
        </is>
      </c>
      <c r="F35" s="82" t="inlineStr">
        <is>
          <t>触下轨→+1；中轨→0；触上轨→-1</t>
        </is>
      </c>
      <c r="G35" s="84" t="inlineStr">
        <is>
          <t>±1</t>
        </is>
      </c>
      <c r="H35" s="84" t="inlineStr">
        <is>
          <t>1</t>
        </is>
      </c>
      <c r="I35" s="84" t="inlineStr">
        <is>
          <t>ccxt</t>
        </is>
      </c>
      <c r="J35" s="83" t="inlineStr">
        <is>
          <t>自动</t>
        </is>
      </c>
      <c r="K35" s="83" t="inlineStr">
        <is>
          <t>日</t>
        </is>
      </c>
      <c r="L35" s="82" t="inlineStr">
        <is>
          <t>趋势中需结合</t>
        </is>
      </c>
    </row>
    <row r="36" ht="30" customHeight="1" s="61">
      <c r="B36" s="95" t="inlineStr">
        <is>
          <t>技术面</t>
        </is>
      </c>
      <c r="C36" s="85" t="inlineStr">
        <is>
          <t>相对强度 币/BTC</t>
        </is>
      </c>
      <c r="D36" s="86" t="inlineStr">
        <is>
          <t>山寨</t>
        </is>
      </c>
      <c r="E36" s="86" t="inlineStr">
        <is>
          <t>跑赢BTC</t>
        </is>
      </c>
      <c r="F36" s="85" t="inlineStr">
        <is>
          <t>比值上行→+1；走平→0；下行→-1</t>
        </is>
      </c>
      <c r="G36" s="87" t="inlineStr">
        <is>
          <t>±1</t>
        </is>
      </c>
      <c r="H36" s="87" t="inlineStr">
        <is>
          <t>2</t>
        </is>
      </c>
      <c r="I36" s="87" t="inlineStr">
        <is>
          <t>ccxt</t>
        </is>
      </c>
      <c r="J36" s="86" t="inlineStr">
        <is>
          <t>自动</t>
        </is>
      </c>
      <c r="K36" s="86" t="inlineStr">
        <is>
          <t>日</t>
        </is>
      </c>
      <c r="L36" s="92" t="inlineStr">
        <is>
          <t>★选币(UNI用币/ETH)</t>
        </is>
      </c>
    </row>
    <row r="37" ht="30" customHeight="1" s="61">
      <c r="B37" s="96" t="inlineStr">
        <is>
          <t>衍生品情绪</t>
        </is>
      </c>
      <c r="C37" s="82" t="inlineStr">
        <is>
          <t>资金费率</t>
        </is>
      </c>
      <c r="D37" s="83" t="inlineStr">
        <is>
          <t>各币</t>
        </is>
      </c>
      <c r="E37" s="83" t="inlineStr">
        <is>
          <t>温和/负</t>
        </is>
      </c>
      <c r="F37" s="82" t="inlineStr">
        <is>
          <t>极正&gt;0.05%→-2；0.01-0.05%→-0.5；中性(-0.01~0.01%)→0；负(-0.05~-0.01%)→+1；极负(&lt;-0.05%)→+2</t>
        </is>
      </c>
      <c r="G37" s="84" t="inlineStr">
        <is>
          <t>±2</t>
        </is>
      </c>
      <c r="H37" s="84" t="inlineStr">
        <is>
          <t>2</t>
        </is>
      </c>
      <c r="I37" s="84" t="inlineStr">
        <is>
          <t>Binance</t>
        </is>
      </c>
      <c r="J37" s="83" t="inlineStr">
        <is>
          <t>自动</t>
        </is>
      </c>
      <c r="K37" s="84" t="inlineStr">
        <is>
          <t>8H</t>
        </is>
      </c>
      <c r="L37" s="93" t="inlineStr">
        <is>
          <t>★反指·过热</t>
        </is>
      </c>
    </row>
    <row r="38" ht="30" customHeight="1" s="61">
      <c r="B38" s="96" t="inlineStr">
        <is>
          <t>衍生品情绪</t>
        </is>
      </c>
      <c r="C38" s="85" t="inlineStr">
        <is>
          <t>未平仓 OI</t>
        </is>
      </c>
      <c r="D38" s="86" t="inlineStr">
        <is>
          <t>各币</t>
        </is>
      </c>
      <c r="E38" s="86" t="inlineStr">
        <is>
          <t>健康增长</t>
        </is>
      </c>
      <c r="F38" s="88" t="inlineStr">
        <is>
          <t>OI激增+价涨→-0.5；OI增+价跌→+0.5；OI降→0</t>
        </is>
      </c>
      <c r="G38" s="87" t="inlineStr">
        <is>
          <t>±0.5</t>
        </is>
      </c>
      <c r="H38" s="87" t="inlineStr">
        <is>
          <t>1</t>
        </is>
      </c>
      <c r="I38" s="87" t="inlineStr">
        <is>
          <t>Binance/Coinglass</t>
        </is>
      </c>
      <c r="J38" s="86" t="inlineStr">
        <is>
          <t>半自动</t>
        </is>
      </c>
      <c r="K38" s="86" t="inlineStr">
        <is>
          <t>日</t>
        </is>
      </c>
      <c r="L38" s="85" t="inlineStr">
        <is>
          <t>需结合价格</t>
        </is>
      </c>
    </row>
    <row r="39" ht="30" customHeight="1" s="61">
      <c r="B39" s="96" t="inlineStr">
        <is>
          <t>衍生品情绪</t>
        </is>
      </c>
      <c r="C39" s="82" t="inlineStr">
        <is>
          <t>大户多空比</t>
        </is>
      </c>
      <c r="D39" s="83" t="inlineStr">
        <is>
          <t>各币</t>
        </is>
      </c>
      <c r="E39" s="83" t="inlineStr">
        <is>
          <t>极端反指</t>
        </is>
      </c>
      <c r="F39" s="82" t="inlineStr">
        <is>
          <t>极度看多→-1；中性→0；极度看空→+1</t>
        </is>
      </c>
      <c r="G39" s="84" t="inlineStr">
        <is>
          <t>±1</t>
        </is>
      </c>
      <c r="H39" s="84" t="inlineStr">
        <is>
          <t>1</t>
        </is>
      </c>
      <c r="I39" s="84" t="inlineStr">
        <is>
          <t>Binance</t>
        </is>
      </c>
      <c r="J39" s="83" t="inlineStr">
        <is>
          <t>自动</t>
        </is>
      </c>
      <c r="K39" s="83" t="inlineStr">
        <is>
          <t>日</t>
        </is>
      </c>
      <c r="L39" s="82" t="inlineStr">
        <is>
          <t>极端才有效</t>
        </is>
      </c>
    </row>
    <row r="40" ht="30" customHeight="1" s="61">
      <c r="B40" s="96" t="inlineStr">
        <is>
          <t>衍生品情绪</t>
        </is>
      </c>
      <c r="C40" s="88" t="inlineStr">
        <is>
          <t>24H 清算</t>
        </is>
      </c>
      <c r="D40" s="86" t="inlineStr">
        <is>
          <t>各币</t>
        </is>
      </c>
      <c r="E40" s="86" t="inlineStr">
        <is>
          <t>多头被清后</t>
        </is>
      </c>
      <c r="F40" s="85" t="inlineStr">
        <is>
          <t>大额多头清算→+1；空头清算→-1</t>
        </is>
      </c>
      <c r="G40" s="87" t="inlineStr">
        <is>
          <t>±1</t>
        </is>
      </c>
      <c r="H40" s="87" t="inlineStr">
        <is>
          <t>1</t>
        </is>
      </c>
      <c r="I40" s="87" t="inlineStr">
        <is>
          <t>Coinglass</t>
        </is>
      </c>
      <c r="J40" s="86" t="inlineStr">
        <is>
          <t>半自动</t>
        </is>
      </c>
      <c r="K40" s="86" t="inlineStr">
        <is>
          <t>日</t>
        </is>
      </c>
      <c r="L40" s="85" t="inlineStr">
        <is>
          <t>择时</t>
        </is>
      </c>
    </row>
    <row r="41" ht="30" customHeight="1" s="61">
      <c r="B41" s="96" t="inlineStr">
        <is>
          <t>衍生品情绪</t>
        </is>
      </c>
      <c r="C41" s="82" t="inlineStr">
        <is>
          <t>波动率指数 DVOL</t>
        </is>
      </c>
      <c r="D41" s="84" t="inlineStr">
        <is>
          <t>BTC/ETH</t>
        </is>
      </c>
      <c r="E41" s="83" t="inlineStr">
        <is>
          <t>极高(恐慌)</t>
        </is>
      </c>
      <c r="F41" s="82" t="inlineStr">
        <is>
          <t>极高→+1；极低→-0.5</t>
        </is>
      </c>
      <c r="G41" s="84" t="inlineStr">
        <is>
          <t>+1~-0.5</t>
        </is>
      </c>
      <c r="H41" s="84" t="inlineStr">
        <is>
          <t>1</t>
        </is>
      </c>
      <c r="I41" s="84" t="inlineStr">
        <is>
          <t>Deribit</t>
        </is>
      </c>
      <c r="J41" s="83" t="inlineStr">
        <is>
          <t>自动</t>
        </is>
      </c>
      <c r="K41" s="83" t="inlineStr">
        <is>
          <t>日</t>
        </is>
      </c>
      <c r="L41" s="93" t="inlineStr">
        <is>
          <t>★反指</t>
        </is>
      </c>
    </row>
    <row r="42" ht="30" customHeight="1" s="61">
      <c r="B42" s="96" t="inlineStr">
        <is>
          <t>衍生品情绪</t>
        </is>
      </c>
      <c r="C42" s="88" t="inlineStr">
        <is>
          <t>Coinbase 溢价</t>
        </is>
      </c>
      <c r="D42" s="87" t="inlineStr">
        <is>
          <t>BTC</t>
        </is>
      </c>
      <c r="E42" s="86" t="inlineStr">
        <is>
          <t>正溢价</t>
        </is>
      </c>
      <c r="F42" s="85" t="inlineStr">
        <is>
          <t>正→+1；0→0；负→-1</t>
        </is>
      </c>
      <c r="G42" s="87" t="inlineStr">
        <is>
          <t>±1</t>
        </is>
      </c>
      <c r="H42" s="87" t="inlineStr">
        <is>
          <t>2</t>
        </is>
      </c>
      <c r="I42" s="86" t="inlineStr">
        <is>
          <t>计算(CB/Binance)</t>
        </is>
      </c>
      <c r="J42" s="86" t="inlineStr">
        <is>
          <t>自动</t>
        </is>
      </c>
      <c r="K42" s="86" t="inlineStr">
        <is>
          <t>日</t>
        </is>
      </c>
      <c r="L42" s="85" t="inlineStr">
        <is>
          <t>美国机构</t>
        </is>
      </c>
    </row>
    <row r="43" ht="30" customHeight="1" s="61">
      <c r="B43" s="96" t="inlineStr">
        <is>
          <t>衍生品情绪</t>
        </is>
      </c>
      <c r="C43" s="90" t="inlineStr">
        <is>
          <t>Hyperliquid 钱包多空</t>
        </is>
      </c>
      <c r="D43" s="84" t="inlineStr">
        <is>
          <t>BTC/ETH</t>
        </is>
      </c>
      <c r="E43" s="83" t="inlineStr">
        <is>
          <t>顺聪明钱</t>
        </is>
      </c>
      <c r="F43" s="82" t="inlineStr">
        <is>
          <t>净多→+0.5；净空→-0.5</t>
        </is>
      </c>
      <c r="G43" s="84" t="inlineStr">
        <is>
          <t>±0.5</t>
        </is>
      </c>
      <c r="H43" s="84" t="inlineStr">
        <is>
          <t>1</t>
        </is>
      </c>
      <c r="I43" s="84" t="inlineStr">
        <is>
          <t>HL API</t>
        </is>
      </c>
      <c r="J43" s="83" t="inlineStr">
        <is>
          <t>自动</t>
        </is>
      </c>
      <c r="K43" s="83" t="inlineStr">
        <is>
          <t>日</t>
        </is>
      </c>
      <c r="L43" s="82" t="inlineStr">
        <is>
          <t>定位参考</t>
        </is>
      </c>
    </row>
    <row r="44" ht="30" customHeight="1" s="61">
      <c r="B44" s="97" t="inlineStr">
        <is>
          <t>链上/基本面</t>
        </is>
      </c>
      <c r="C44" s="90" t="inlineStr">
        <is>
          <t>ETH 质押率</t>
        </is>
      </c>
      <c r="D44" s="84" t="inlineStr">
        <is>
          <t>ETH</t>
        </is>
      </c>
      <c r="E44" s="83" t="inlineStr">
        <is>
          <t>上升</t>
        </is>
      </c>
      <c r="F44" s="82" t="inlineStr">
        <is>
          <t>上升→+1；走平→0；下降→-0.5</t>
        </is>
      </c>
      <c r="G44" s="84" t="inlineStr">
        <is>
          <t>+1~-0.5</t>
        </is>
      </c>
      <c r="H44" s="84" t="inlineStr">
        <is>
          <t>2</t>
        </is>
      </c>
      <c r="I44" s="84" t="inlineStr">
        <is>
          <t>beaconcha.in</t>
        </is>
      </c>
      <c r="J44" s="83" t="inlineStr">
        <is>
          <t>自动</t>
        </is>
      </c>
      <c r="K44" s="83" t="inlineStr">
        <is>
          <t>日</t>
        </is>
      </c>
      <c r="L44" s="82" t="inlineStr">
        <is>
          <t>锁仓</t>
        </is>
      </c>
    </row>
    <row r="45" ht="30" customHeight="1" s="61">
      <c r="B45" s="97" t="inlineStr">
        <is>
          <t>链上/基本面</t>
        </is>
      </c>
      <c r="C45" s="88" t="inlineStr">
        <is>
          <t>EIP-1559 销毁量</t>
        </is>
      </c>
      <c r="D45" s="87" t="inlineStr">
        <is>
          <t>ETH</t>
        </is>
      </c>
      <c r="E45" s="86" t="inlineStr">
        <is>
          <t>净通缩</t>
        </is>
      </c>
      <c r="F45" s="85" t="inlineStr">
        <is>
          <t>净通缩→+1；中性→0；通胀→-1</t>
        </is>
      </c>
      <c r="G45" s="87" t="inlineStr">
        <is>
          <t>±1</t>
        </is>
      </c>
      <c r="H45" s="87" t="inlineStr">
        <is>
          <t>2</t>
        </is>
      </c>
      <c r="I45" s="87" t="inlineStr">
        <is>
          <t>ultrasound.money</t>
        </is>
      </c>
      <c r="J45" s="86" t="inlineStr">
        <is>
          <t>自动</t>
        </is>
      </c>
      <c r="K45" s="86" t="inlineStr">
        <is>
          <t>日</t>
        </is>
      </c>
      <c r="L45" s="85" t="inlineStr">
        <is>
          <t>通缩机制</t>
        </is>
      </c>
    </row>
    <row r="46" ht="30" customHeight="1" s="61">
      <c r="B46" s="97" t="inlineStr">
        <is>
          <t>链上/基本面</t>
        </is>
      </c>
      <c r="C46" s="90" t="inlineStr">
        <is>
          <t>ETH DeFi TVL</t>
        </is>
      </c>
      <c r="D46" s="84" t="inlineStr">
        <is>
          <t>ETH</t>
        </is>
      </c>
      <c r="E46" s="83" t="inlineStr">
        <is>
          <t>上升</t>
        </is>
      </c>
      <c r="F46" s="82" t="inlineStr">
        <is>
          <t>上升→+1；走平→0；下降→-1</t>
        </is>
      </c>
      <c r="G46" s="84" t="inlineStr">
        <is>
          <t>±1</t>
        </is>
      </c>
      <c r="H46" s="84" t="inlineStr">
        <is>
          <t>2</t>
        </is>
      </c>
      <c r="I46" s="84" t="inlineStr">
        <is>
          <t>DefiLlama</t>
        </is>
      </c>
      <c r="J46" s="83" t="inlineStr">
        <is>
          <t>自动</t>
        </is>
      </c>
      <c r="K46" s="83" t="inlineStr">
        <is>
          <t>日</t>
        </is>
      </c>
      <c r="L46" s="82" t="inlineStr">
        <is>
          <t>生态</t>
        </is>
      </c>
    </row>
    <row r="47" ht="30" customHeight="1" s="61">
      <c r="B47" s="97" t="inlineStr">
        <is>
          <t>链上/基本面</t>
        </is>
      </c>
      <c r="C47" s="88" t="inlineStr">
        <is>
          <t>L2 总TVL</t>
        </is>
      </c>
      <c r="D47" s="87" t="inlineStr">
        <is>
          <t>ETH</t>
        </is>
      </c>
      <c r="E47" s="86" t="inlineStr">
        <is>
          <t>上升</t>
        </is>
      </c>
      <c r="F47" s="85" t="inlineStr">
        <is>
          <t>上升→+0.5；下降→-0.5</t>
        </is>
      </c>
      <c r="G47" s="87" t="inlineStr">
        <is>
          <t>±0.5</t>
        </is>
      </c>
      <c r="H47" s="87" t="inlineStr">
        <is>
          <t>1</t>
        </is>
      </c>
      <c r="I47" s="87" t="inlineStr">
        <is>
          <t>L2Beat</t>
        </is>
      </c>
      <c r="J47" s="86" t="inlineStr">
        <is>
          <t>半自动</t>
        </is>
      </c>
      <c r="K47" s="86" t="inlineStr">
        <is>
          <t>日</t>
        </is>
      </c>
      <c r="L47" s="85" t="inlineStr">
        <is>
          <t>扩容生态</t>
        </is>
      </c>
    </row>
    <row r="48" ht="30" customHeight="1" s="61">
      <c r="B48" s="97" t="inlineStr">
        <is>
          <t>链上/基本面</t>
        </is>
      </c>
      <c r="C48" s="90" t="inlineStr">
        <is>
          <t>GitHub 周提交</t>
        </is>
      </c>
      <c r="D48" s="84" t="inlineStr">
        <is>
          <t>ETH</t>
        </is>
      </c>
      <c r="E48" s="83" t="inlineStr">
        <is>
          <t>活跃</t>
        </is>
      </c>
      <c r="F48" s="82" t="inlineStr">
        <is>
          <t>上升→+0.5；下降→-0.5</t>
        </is>
      </c>
      <c r="G48" s="84" t="inlineStr">
        <is>
          <t>±0.5</t>
        </is>
      </c>
      <c r="H48" s="84" t="inlineStr">
        <is>
          <t>1</t>
        </is>
      </c>
      <c r="I48" s="84" t="inlineStr">
        <is>
          <t>CryptoMiso</t>
        </is>
      </c>
      <c r="J48" s="83" t="inlineStr">
        <is>
          <t>半自动</t>
        </is>
      </c>
      <c r="K48" s="83" t="inlineStr">
        <is>
          <t>周</t>
        </is>
      </c>
      <c r="L48" s="82" t="inlineStr">
        <is>
          <t>开发活跃</t>
        </is>
      </c>
    </row>
    <row r="49" ht="30" customHeight="1" s="61">
      <c r="B49" s="97" t="inlineStr">
        <is>
          <t>链上/基本面</t>
        </is>
      </c>
      <c r="C49" s="88" t="inlineStr">
        <is>
          <t>SOL DeFi TVL</t>
        </is>
      </c>
      <c r="D49" s="87" t="inlineStr">
        <is>
          <t>SOL</t>
        </is>
      </c>
      <c r="E49" s="86" t="inlineStr">
        <is>
          <t>上升</t>
        </is>
      </c>
      <c r="F49" s="85" t="inlineStr">
        <is>
          <t>上升→+1；走平→0；下降→-1</t>
        </is>
      </c>
      <c r="G49" s="87" t="inlineStr">
        <is>
          <t>±1</t>
        </is>
      </c>
      <c r="H49" s="87" t="inlineStr">
        <is>
          <t>2</t>
        </is>
      </c>
      <c r="I49" s="87" t="inlineStr">
        <is>
          <t>DefiLlama</t>
        </is>
      </c>
      <c r="J49" s="86" t="inlineStr">
        <is>
          <t>自动</t>
        </is>
      </c>
      <c r="K49" s="86" t="inlineStr">
        <is>
          <t>日</t>
        </is>
      </c>
      <c r="L49" s="85" t="inlineStr">
        <is>
          <t>生态</t>
        </is>
      </c>
    </row>
    <row r="50" ht="30" customHeight="1" s="61">
      <c r="B50" s="97" t="inlineStr">
        <is>
          <t>链上/基本面</t>
        </is>
      </c>
      <c r="C50" s="90" t="inlineStr">
        <is>
          <t>SOL DEX 日交易量</t>
        </is>
      </c>
      <c r="D50" s="84" t="inlineStr">
        <is>
          <t>SOL</t>
        </is>
      </c>
      <c r="E50" s="83" t="inlineStr">
        <is>
          <t>上升</t>
        </is>
      </c>
      <c r="F50" s="82" t="inlineStr">
        <is>
          <t>上升→+1；下降→-1</t>
        </is>
      </c>
      <c r="G50" s="84" t="inlineStr">
        <is>
          <t>±1</t>
        </is>
      </c>
      <c r="H50" s="84" t="inlineStr">
        <is>
          <t>2</t>
        </is>
      </c>
      <c r="I50" s="84" t="inlineStr">
        <is>
          <t>DefiLlama</t>
        </is>
      </c>
      <c r="J50" s="83" t="inlineStr">
        <is>
          <t>自动</t>
        </is>
      </c>
      <c r="K50" s="83" t="inlineStr">
        <is>
          <t>日</t>
        </is>
      </c>
      <c r="L50" s="82" t="inlineStr">
        <is>
          <t>链活跃</t>
        </is>
      </c>
    </row>
    <row r="51" ht="30" customHeight="1" s="61">
      <c r="B51" s="97" t="inlineStr">
        <is>
          <t>链上/基本面</t>
        </is>
      </c>
      <c r="C51" s="88" t="inlineStr">
        <is>
          <t>SOL 日活地址</t>
        </is>
      </c>
      <c r="D51" s="87" t="inlineStr">
        <is>
          <t>SOL</t>
        </is>
      </c>
      <c r="E51" s="86" t="inlineStr">
        <is>
          <t>上升</t>
        </is>
      </c>
      <c r="F51" s="85" t="inlineStr">
        <is>
          <t>上升→+0.5；下降→-0.5</t>
        </is>
      </c>
      <c r="G51" s="87" t="inlineStr">
        <is>
          <t>±0.5</t>
        </is>
      </c>
      <c r="H51" s="87" t="inlineStr">
        <is>
          <t>1</t>
        </is>
      </c>
      <c r="I51" s="87" t="inlineStr">
        <is>
          <t>Solscan</t>
        </is>
      </c>
      <c r="J51" s="86" t="inlineStr">
        <is>
          <t>半自动</t>
        </is>
      </c>
      <c r="K51" s="86" t="inlineStr">
        <is>
          <t>日</t>
        </is>
      </c>
      <c r="L51" s="85" t="inlineStr">
        <is>
          <t>网络健康</t>
        </is>
      </c>
    </row>
    <row r="52" ht="30" customHeight="1" s="61">
      <c r="B52" s="97" t="inlineStr">
        <is>
          <t>链上/基本面</t>
        </is>
      </c>
      <c r="C52" s="90" t="inlineStr">
        <is>
          <t>SOL 质押率</t>
        </is>
      </c>
      <c r="D52" s="84" t="inlineStr">
        <is>
          <t>SOL</t>
        </is>
      </c>
      <c r="E52" s="83" t="inlineStr">
        <is>
          <t>稳定高位</t>
        </is>
      </c>
      <c r="F52" s="82" t="inlineStr">
        <is>
          <t>上升→+0.5；下降→-0.5</t>
        </is>
      </c>
      <c r="G52" s="84" t="inlineStr">
        <is>
          <t>±0.5</t>
        </is>
      </c>
      <c r="H52" s="84" t="inlineStr">
        <is>
          <t>1</t>
        </is>
      </c>
      <c r="I52" s="84" t="inlineStr">
        <is>
          <t>Solscan</t>
        </is>
      </c>
      <c r="J52" s="83" t="inlineStr">
        <is>
          <t>半自动</t>
        </is>
      </c>
      <c r="K52" s="83" t="inlineStr">
        <is>
          <t>日</t>
        </is>
      </c>
      <c r="L52" s="82" t="inlineStr">
        <is>
          <t>锁仓</t>
        </is>
      </c>
    </row>
    <row r="53" ht="30" customHeight="1" s="61">
      <c r="B53" s="97" t="inlineStr">
        <is>
          <t>链上/基本面</t>
        </is>
      </c>
      <c r="C53" s="88" t="inlineStr">
        <is>
          <t>UNI 协议日交易量</t>
        </is>
      </c>
      <c r="D53" s="87" t="inlineStr">
        <is>
          <t>UNI</t>
        </is>
      </c>
      <c r="E53" s="86" t="inlineStr">
        <is>
          <t>上升</t>
        </is>
      </c>
      <c r="F53" s="85" t="inlineStr">
        <is>
          <t>上升→+1；下降→-1</t>
        </is>
      </c>
      <c r="G53" s="87" t="inlineStr">
        <is>
          <t>±1</t>
        </is>
      </c>
      <c r="H53" s="87" t="inlineStr">
        <is>
          <t>2</t>
        </is>
      </c>
      <c r="I53" s="87" t="inlineStr">
        <is>
          <t>DefiLlama</t>
        </is>
      </c>
      <c r="J53" s="86" t="inlineStr">
        <is>
          <t>自动</t>
        </is>
      </c>
      <c r="K53" s="86" t="inlineStr">
        <is>
          <t>日</t>
        </is>
      </c>
      <c r="L53" s="85" t="inlineStr">
        <is>
          <t>核心业务</t>
        </is>
      </c>
    </row>
    <row r="54" ht="30" customHeight="1" s="61">
      <c r="B54" s="97" t="inlineStr">
        <is>
          <t>链上/基本面</t>
        </is>
      </c>
      <c r="C54" s="90" t="inlineStr">
        <is>
          <t>UNI 费用收入</t>
        </is>
      </c>
      <c r="D54" s="84" t="inlineStr">
        <is>
          <t>UNI</t>
        </is>
      </c>
      <c r="E54" s="83" t="inlineStr">
        <is>
          <t>上升</t>
        </is>
      </c>
      <c r="F54" s="82" t="inlineStr">
        <is>
          <t>上升→+1；下降→-1</t>
        </is>
      </c>
      <c r="G54" s="84" t="inlineStr">
        <is>
          <t>±1</t>
        </is>
      </c>
      <c r="H54" s="84" t="inlineStr">
        <is>
          <t>2</t>
        </is>
      </c>
      <c r="I54" s="84" t="inlineStr">
        <is>
          <t>DefiLlama</t>
        </is>
      </c>
      <c r="J54" s="83" t="inlineStr">
        <is>
          <t>自动</t>
        </is>
      </c>
      <c r="K54" s="83" t="inlineStr">
        <is>
          <t>日</t>
        </is>
      </c>
      <c r="L54" s="82" t="inlineStr">
        <is>
          <t>现金流</t>
        </is>
      </c>
    </row>
    <row r="55" ht="30" customHeight="1" s="61">
      <c r="B55" s="97" t="inlineStr">
        <is>
          <t>链上/基本面</t>
        </is>
      </c>
      <c r="C55" s="88" t="inlineStr">
        <is>
          <t>UNI 费用开关/回购</t>
        </is>
      </c>
      <c r="D55" s="87" t="inlineStr">
        <is>
          <t>UNI</t>
        </is>
      </c>
      <c r="E55" s="86" t="inlineStr">
        <is>
          <t>推进</t>
        </is>
      </c>
      <c r="F55" s="85" t="inlineStr">
        <is>
          <t>覆盖链增加/回购启动→+1.5；停滞→0</t>
        </is>
      </c>
      <c r="G55" s="87" t="inlineStr">
        <is>
          <t>+1.5~0</t>
        </is>
      </c>
      <c r="H55" s="87" t="inlineStr">
        <is>
          <t>2</t>
        </is>
      </c>
      <c r="I55" s="86" t="inlineStr">
        <is>
          <t>治理论坛</t>
        </is>
      </c>
      <c r="J55" s="86" t="inlineStr">
        <is>
          <t>手动</t>
        </is>
      </c>
      <c r="K55" s="86" t="inlineStr">
        <is>
          <t>事件</t>
        </is>
      </c>
      <c r="L55" s="92" t="inlineStr">
        <is>
          <t>★催化剂</t>
        </is>
      </c>
    </row>
    <row r="56" ht="30" customHeight="1" s="61">
      <c r="B56" s="97" t="inlineStr">
        <is>
          <t>链上/基本面</t>
        </is>
      </c>
      <c r="C56" s="90" t="inlineStr">
        <is>
          <t>UNI 治理+机构进展</t>
        </is>
      </c>
      <c r="D56" s="84" t="inlineStr">
        <is>
          <t>UNI</t>
        </is>
      </c>
      <c r="E56" s="83" t="inlineStr">
        <is>
          <t>利好</t>
        </is>
      </c>
      <c r="F56" s="82" t="inlineStr">
        <is>
          <t>重大利好→+1；无→0；利空→-1</t>
        </is>
      </c>
      <c r="G56" s="84" t="inlineStr">
        <is>
          <t>±1</t>
        </is>
      </c>
      <c r="H56" s="84" t="inlineStr">
        <is>
          <t>1</t>
        </is>
      </c>
      <c r="I56" s="83" t="inlineStr">
        <is>
          <t>官博/Tally</t>
        </is>
      </c>
      <c r="J56" s="83" t="inlineStr">
        <is>
          <t>手动</t>
        </is>
      </c>
      <c r="K56" s="83" t="inlineStr">
        <is>
          <t>事件</t>
        </is>
      </c>
      <c r="L56" s="82" t="inlineStr">
        <is>
          <t>定性</t>
        </is>
      </c>
    </row>
    <row r="57" ht="30" customHeight="1" s="61">
      <c r="B57" s="97" t="inlineStr">
        <is>
          <t>链上/基本面</t>
        </is>
      </c>
      <c r="C57" s="88" t="inlineStr">
        <is>
          <t>LINK CCIP/采用</t>
        </is>
      </c>
      <c r="D57" s="87" t="inlineStr">
        <is>
          <t>LINK</t>
        </is>
      </c>
      <c r="E57" s="86" t="inlineStr">
        <is>
          <t>采用扩大</t>
        </is>
      </c>
      <c r="F57" s="85" t="inlineStr">
        <is>
          <t>新合作/采用→+1；停滞→0</t>
        </is>
      </c>
      <c r="G57" s="87" t="inlineStr">
        <is>
          <t>+1~0</t>
        </is>
      </c>
      <c r="H57" s="87" t="inlineStr">
        <is>
          <t>2</t>
        </is>
      </c>
      <c r="I57" s="86" t="inlineStr">
        <is>
          <t>官方/DefiLlama</t>
        </is>
      </c>
      <c r="J57" s="86" t="inlineStr">
        <is>
          <t>半自动</t>
        </is>
      </c>
      <c r="K57" s="86" t="inlineStr">
        <is>
          <t>事件</t>
        </is>
      </c>
      <c r="L57" s="88" t="inlineStr">
        <is>
          <t>oracle采用</t>
        </is>
      </c>
    </row>
    <row r="58" ht="30" customHeight="1" s="61">
      <c r="B58" s="97" t="inlineStr">
        <is>
          <t>链上/基本面</t>
        </is>
      </c>
      <c r="C58" s="90" t="inlineStr">
        <is>
          <t>LINK 质押/锁仓</t>
        </is>
      </c>
      <c r="D58" s="84" t="inlineStr">
        <is>
          <t>LINK</t>
        </is>
      </c>
      <c r="E58" s="83" t="inlineStr">
        <is>
          <t>上升</t>
        </is>
      </c>
      <c r="F58" s="82" t="inlineStr">
        <is>
          <t>上升→+0.5；下降→-0.5</t>
        </is>
      </c>
      <c r="G58" s="84" t="inlineStr">
        <is>
          <t>±0.5</t>
        </is>
      </c>
      <c r="H58" s="84" t="inlineStr">
        <is>
          <t>1</t>
        </is>
      </c>
      <c r="I58" s="83" t="inlineStr">
        <is>
          <t>官方</t>
        </is>
      </c>
      <c r="J58" s="83" t="inlineStr">
        <is>
          <t>半自动</t>
        </is>
      </c>
      <c r="K58" s="83" t="inlineStr">
        <is>
          <t>日</t>
        </is>
      </c>
      <c r="L58" s="82" t="inlineStr">
        <is>
          <t>供给</t>
        </is>
      </c>
    </row>
    <row r="59" ht="30" customHeight="1" s="61">
      <c r="B59" s="97" t="inlineStr">
        <is>
          <t>链上/基本面</t>
        </is>
      </c>
      <c r="C59" s="88" t="inlineStr">
        <is>
          <t>LINK Secured TVS</t>
        </is>
      </c>
      <c r="D59" s="87" t="inlineStr">
        <is>
          <t>LINK</t>
        </is>
      </c>
      <c r="E59" s="86" t="inlineStr">
        <is>
          <t>上升</t>
        </is>
      </c>
      <c r="F59" s="85" t="inlineStr">
        <is>
          <t>上升→+0.5；下降→-0.5</t>
        </is>
      </c>
      <c r="G59" s="87" t="inlineStr">
        <is>
          <t>±0.5</t>
        </is>
      </c>
      <c r="H59" s="87" t="inlineStr">
        <is>
          <t>1</t>
        </is>
      </c>
      <c r="I59" s="87" t="inlineStr">
        <is>
          <t>DefiLlama</t>
        </is>
      </c>
      <c r="J59" s="86" t="inlineStr">
        <is>
          <t>半自动</t>
        </is>
      </c>
      <c r="K59" s="86" t="inlineStr">
        <is>
          <t>日</t>
        </is>
      </c>
      <c r="L59" s="85" t="inlineStr">
        <is>
          <t>保护价值</t>
        </is>
      </c>
    </row>
    <row r="60" ht="30" customHeight="1" s="61">
      <c r="B60" s="97" t="inlineStr">
        <is>
          <t>链上/基本面</t>
        </is>
      </c>
      <c r="C60" s="90" t="inlineStr">
        <is>
          <t>LTC 全网算力</t>
        </is>
      </c>
      <c r="D60" s="84" t="inlineStr">
        <is>
          <t>LTC</t>
        </is>
      </c>
      <c r="E60" s="83" t="inlineStr">
        <is>
          <t>稳定/上升</t>
        </is>
      </c>
      <c r="F60" s="82" t="inlineStr">
        <is>
          <t>上升→+0.5；骤降→-1</t>
        </is>
      </c>
      <c r="G60" s="84" t="inlineStr">
        <is>
          <t>+0.5~-1</t>
        </is>
      </c>
      <c r="H60" s="84" t="inlineStr">
        <is>
          <t>1</t>
        </is>
      </c>
      <c r="I60" s="83" t="inlineStr">
        <is>
          <t>区块浏览器</t>
        </is>
      </c>
      <c r="J60" s="83" t="inlineStr">
        <is>
          <t>半自动</t>
        </is>
      </c>
      <c r="K60" s="83" t="inlineStr">
        <is>
          <t>日</t>
        </is>
      </c>
      <c r="L60" s="82" t="inlineStr">
        <is>
          <t>矿工信心</t>
        </is>
      </c>
    </row>
    <row r="61" ht="30" customHeight="1" s="61">
      <c r="B61" s="97" t="inlineStr">
        <is>
          <t>链上/基本面</t>
        </is>
      </c>
      <c r="C61" s="88" t="inlineStr">
        <is>
          <t>LTC 活跃地址</t>
        </is>
      </c>
      <c r="D61" s="87" t="inlineStr">
        <is>
          <t>LTC</t>
        </is>
      </c>
      <c r="E61" s="86" t="inlineStr">
        <is>
          <t>上升</t>
        </is>
      </c>
      <c r="F61" s="85" t="inlineStr">
        <is>
          <t>上升→+0.5；下降→-0.5</t>
        </is>
      </c>
      <c r="G61" s="87" t="inlineStr">
        <is>
          <t>±0.5</t>
        </is>
      </c>
      <c r="H61" s="87" t="inlineStr">
        <is>
          <t>1</t>
        </is>
      </c>
      <c r="I61" s="86" t="inlineStr">
        <is>
          <t>区块浏览器</t>
        </is>
      </c>
      <c r="J61" s="86" t="inlineStr">
        <is>
          <t>半自动</t>
        </is>
      </c>
      <c r="K61" s="86" t="inlineStr">
        <is>
          <t>日</t>
        </is>
      </c>
      <c r="L61" s="85" t="inlineStr">
        <is>
          <t>使用度</t>
        </is>
      </c>
    </row>
    <row r="62" ht="30" customHeight="1" s="61">
      <c r="B62" s="97" t="inlineStr">
        <is>
          <t>链上/基本面</t>
        </is>
      </c>
      <c r="C62" s="90" t="inlineStr">
        <is>
          <t>LTC 减半周期位置</t>
        </is>
      </c>
      <c r="D62" s="84" t="inlineStr">
        <is>
          <t>LTC</t>
        </is>
      </c>
      <c r="E62" s="83" t="inlineStr">
        <is>
          <t>减半前</t>
        </is>
      </c>
      <c r="F62" s="82" t="inlineStr">
        <is>
          <t>减半临近→+1；减半后衰减→-0.5</t>
        </is>
      </c>
      <c r="G62" s="84" t="inlineStr">
        <is>
          <t>+1~-0.5</t>
        </is>
      </c>
      <c r="H62" s="84" t="inlineStr">
        <is>
          <t>1</t>
        </is>
      </c>
      <c r="I62" s="83" t="inlineStr">
        <is>
          <t>计算</t>
        </is>
      </c>
      <c r="J62" s="83" t="inlineStr">
        <is>
          <t>自动</t>
        </is>
      </c>
      <c r="K62" s="83" t="inlineStr">
        <is>
          <t>背景</t>
        </is>
      </c>
      <c r="L62" s="82" t="inlineStr">
        <is>
          <t>周期</t>
        </is>
      </c>
    </row>
  </sheetData>
  <mergeCells count="1">
    <mergeCell ref="B2:L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G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60" min="1" max="1"/>
    <col width="12" customWidth="1" style="60" min="2" max="2"/>
    <col width="24" customWidth="1" style="60" min="3" max="3"/>
    <col width="12" customWidth="1" style="60" min="4" max="4"/>
    <col width="8" customWidth="1" style="60" min="5" max="5"/>
    <col width="10" customWidth="1" style="60" min="6" max="6"/>
    <col width="40" customWidth="1" style="60" min="7" max="7"/>
  </cols>
  <sheetData>
    <row r="2" ht="25.5" customHeight="1" s="61">
      <c r="B2" s="98" t="inlineStr">
        <is>
          <t>ETH · 合成分算例（可运行 · 黄色格填因子分）</t>
        </is>
      </c>
    </row>
    <row r="3" ht="25.5" customHeight="1" s="61">
      <c r="B3" s="99" t="inlineStr">
        <is>
          <t>填法：在「因子分」列填 -2~+2（依据规则表）。加权分、维度分、regime、合成分、动作全部公式自动算。黄色=手动填。</t>
        </is>
      </c>
    </row>
    <row r="5" ht="21.75" customHeight="1" s="61">
      <c r="B5" s="80" t="inlineStr">
        <is>
          <t>维度</t>
        </is>
      </c>
      <c r="C5" s="80" t="inlineStr">
        <is>
          <t>因子</t>
        </is>
      </c>
      <c r="D5" s="80" t="inlineStr">
        <is>
          <t>因子分(-2~+2)</t>
        </is>
      </c>
      <c r="E5" s="80" t="inlineStr">
        <is>
          <t>权重</t>
        </is>
      </c>
      <c r="F5" s="80" t="inlineStr">
        <is>
          <t>加权分</t>
        </is>
      </c>
      <c r="G5" s="80" t="inlineStr">
        <is>
          <t>说明</t>
        </is>
      </c>
    </row>
    <row r="6" ht="15" customHeight="1" s="61">
      <c r="B6" s="95" t="inlineStr">
        <is>
          <t>技术面</t>
        </is>
      </c>
      <c r="C6" s="82" t="inlineStr">
        <is>
          <t>价格 vs MA200</t>
        </is>
      </c>
      <c r="D6" s="100" t="n">
        <v>1.5</v>
      </c>
      <c r="E6" s="84" t="n">
        <v>3</v>
      </c>
      <c r="F6" s="84">
        <f>D6*E6</f>
        <v/>
      </c>
      <c r="G6" s="101" t="inlineStr">
        <is>
          <t>在上方</t>
        </is>
      </c>
    </row>
    <row r="7" ht="15" customHeight="1" s="61">
      <c r="B7" s="95" t="inlineStr">
        <is>
          <t>技术面</t>
        </is>
      </c>
      <c r="C7" s="88" t="inlineStr">
        <is>
          <t>MA50 vs MA200</t>
        </is>
      </c>
      <c r="D7" s="100" t="n">
        <v>1</v>
      </c>
      <c r="E7" s="87" t="n">
        <v>2</v>
      </c>
      <c r="F7" s="87">
        <f>D7*E7</f>
        <v/>
      </c>
      <c r="G7" s="102" t="inlineStr">
        <is>
          <t>多头排列</t>
        </is>
      </c>
    </row>
    <row r="8" ht="15" customHeight="1" s="61">
      <c r="B8" s="95" t="inlineStr">
        <is>
          <t>技术面</t>
        </is>
      </c>
      <c r="C8" s="90" t="inlineStr">
        <is>
          <t>RSI 日线</t>
        </is>
      </c>
      <c r="D8" s="100" t="n">
        <v>-0.5</v>
      </c>
      <c r="E8" s="84" t="n">
        <v>2</v>
      </c>
      <c r="F8" s="84">
        <f>D8*E8</f>
        <v/>
      </c>
      <c r="G8" s="103" t="inlineStr">
        <is>
          <t>58 偏高</t>
        </is>
      </c>
    </row>
    <row r="9" ht="15" customHeight="1" s="61">
      <c r="B9" s="95" t="inlineStr">
        <is>
          <t>技术面</t>
        </is>
      </c>
      <c r="C9" s="88" t="inlineStr">
        <is>
          <t>MACD 日线柱</t>
        </is>
      </c>
      <c r="D9" s="100" t="n">
        <v>1</v>
      </c>
      <c r="E9" s="87" t="n">
        <v>2</v>
      </c>
      <c r="F9" s="87">
        <f>D9*E9</f>
        <v/>
      </c>
      <c r="G9" s="102" t="inlineStr">
        <is>
          <t>柱放大</t>
        </is>
      </c>
    </row>
    <row r="10" ht="15" customHeight="1" s="61">
      <c r="B10" s="95" t="inlineStr">
        <is>
          <t>技术面</t>
        </is>
      </c>
      <c r="C10" s="82" t="inlineStr">
        <is>
          <t>相对强度 ETH/BTC</t>
        </is>
      </c>
      <c r="D10" s="100" t="n">
        <v>1</v>
      </c>
      <c r="E10" s="84" t="n">
        <v>2</v>
      </c>
      <c r="F10" s="84">
        <f>D10*E10</f>
        <v/>
      </c>
      <c r="G10" s="101" t="inlineStr">
        <is>
          <t>跑赢BTC</t>
        </is>
      </c>
    </row>
    <row r="11" ht="15" customHeight="1" s="61">
      <c r="B11" s="94" t="inlineStr">
        <is>
          <t>资金面</t>
        </is>
      </c>
      <c r="C11" s="82" t="inlineStr">
        <is>
          <t>现货ETF 净流入</t>
        </is>
      </c>
      <c r="D11" s="100" t="n">
        <v>2</v>
      </c>
      <c r="E11" s="84" t="n">
        <v>3</v>
      </c>
      <c r="F11" s="84">
        <f>D11*E11</f>
        <v/>
      </c>
      <c r="G11" s="101" t="inlineStr">
        <is>
          <t>大额流入</t>
        </is>
      </c>
    </row>
    <row r="12" ht="15" customHeight="1" s="61">
      <c r="B12" s="94" t="inlineStr">
        <is>
          <t>资金面</t>
        </is>
      </c>
      <c r="C12" s="85" t="inlineStr">
        <is>
          <t>交易所净流入流出</t>
        </is>
      </c>
      <c r="D12" s="100" t="n">
        <v>0.5</v>
      </c>
      <c r="E12" s="87" t="n">
        <v>2</v>
      </c>
      <c r="F12" s="87">
        <f>D12*E12</f>
        <v/>
      </c>
      <c r="G12" s="102" t="inlineStr">
        <is>
          <t>温和净流出</t>
        </is>
      </c>
    </row>
    <row r="13" ht="15" customHeight="1" s="61">
      <c r="B13" s="94" t="inlineStr">
        <is>
          <t>资金面</t>
        </is>
      </c>
      <c r="C13" s="82" t="inlineStr">
        <is>
          <t>成交量 vs 均量</t>
        </is>
      </c>
      <c r="D13" s="100" t="n">
        <v>1</v>
      </c>
      <c r="E13" s="84" t="n">
        <v>2</v>
      </c>
      <c r="F13" s="84">
        <f>D13*E13</f>
        <v/>
      </c>
      <c r="G13" s="101" t="inlineStr">
        <is>
          <t>放量上涨</t>
        </is>
      </c>
    </row>
    <row r="14" ht="15" customHeight="1" s="61">
      <c r="B14" s="97" t="inlineStr">
        <is>
          <t>链上/基本面</t>
        </is>
      </c>
      <c r="C14" s="90" t="inlineStr">
        <is>
          <t>ETH 质押率</t>
        </is>
      </c>
      <c r="D14" s="100" t="n">
        <v>1</v>
      </c>
      <c r="E14" s="84" t="n">
        <v>2</v>
      </c>
      <c r="F14" s="84">
        <f>D14*E14</f>
        <v/>
      </c>
      <c r="G14" s="101" t="inlineStr">
        <is>
          <t>上升</t>
        </is>
      </c>
    </row>
    <row r="15" ht="15" customHeight="1" s="61">
      <c r="B15" s="97" t="inlineStr">
        <is>
          <t>链上/基本面</t>
        </is>
      </c>
      <c r="C15" s="88" t="inlineStr">
        <is>
          <t>EIP-1559 销毁</t>
        </is>
      </c>
      <c r="D15" s="100" t="n">
        <v>1</v>
      </c>
      <c r="E15" s="87" t="n">
        <v>2</v>
      </c>
      <c r="F15" s="87">
        <f>D15*E15</f>
        <v/>
      </c>
      <c r="G15" s="102" t="inlineStr">
        <is>
          <t>净通缩</t>
        </is>
      </c>
    </row>
    <row r="16" ht="15" customHeight="1" s="61">
      <c r="B16" s="97" t="inlineStr">
        <is>
          <t>链上/基本面</t>
        </is>
      </c>
      <c r="C16" s="90" t="inlineStr">
        <is>
          <t>ETH DeFi TVL</t>
        </is>
      </c>
      <c r="D16" s="100" t="n">
        <v>-1</v>
      </c>
      <c r="E16" s="84" t="n">
        <v>2</v>
      </c>
      <c r="F16" s="84">
        <f>D16*E16</f>
        <v/>
      </c>
      <c r="G16" s="101" t="inlineStr">
        <is>
          <t>回落</t>
        </is>
      </c>
    </row>
    <row r="17" ht="15" customHeight="1" s="61">
      <c r="B17" s="96" t="inlineStr">
        <is>
          <t>衍生品情绪</t>
        </is>
      </c>
      <c r="C17" s="82" t="inlineStr">
        <is>
          <t>资金费率</t>
        </is>
      </c>
      <c r="D17" s="100" t="n">
        <v>-0.5</v>
      </c>
      <c r="E17" s="84" t="n">
        <v>2</v>
      </c>
      <c r="F17" s="84">
        <f>D17*E17</f>
        <v/>
      </c>
      <c r="G17" s="101" t="inlineStr">
        <is>
          <t>偏正过热</t>
        </is>
      </c>
    </row>
    <row r="18" ht="15" customHeight="1" s="61">
      <c r="B18" s="96" t="inlineStr">
        <is>
          <t>衍生品情绪</t>
        </is>
      </c>
      <c r="C18" s="85" t="inlineStr">
        <is>
          <t>大户多空比</t>
        </is>
      </c>
      <c r="D18" s="100" t="n">
        <v>0</v>
      </c>
      <c r="E18" s="87" t="n">
        <v>1</v>
      </c>
      <c r="F18" s="87">
        <f>D18*E18</f>
        <v/>
      </c>
      <c r="G18" s="102" t="inlineStr">
        <is>
          <t>中性</t>
        </is>
      </c>
    </row>
    <row r="19" ht="15" customHeight="1" s="61">
      <c r="B19" s="96" t="inlineStr">
        <is>
          <t>衍生品情绪</t>
        </is>
      </c>
      <c r="C19" s="90" t="inlineStr">
        <is>
          <t>DVOL</t>
        </is>
      </c>
      <c r="D19" s="100" t="n">
        <v>-0.5</v>
      </c>
      <c r="E19" s="84" t="n">
        <v>1</v>
      </c>
      <c r="F19" s="84">
        <f>D19*E19</f>
        <v/>
      </c>
      <c r="G19" s="101" t="inlineStr">
        <is>
          <t>极低</t>
        </is>
      </c>
    </row>
    <row r="21" ht="15" customHeight="1" s="61">
      <c r="B21" s="104" t="inlineStr">
        <is>
          <t>维度分（加权平均，已按维度权重）</t>
        </is>
      </c>
    </row>
    <row r="22" ht="15" customHeight="1" s="61">
      <c r="B22" s="95" t="inlineStr">
        <is>
          <t>技术面</t>
        </is>
      </c>
      <c r="C22" s="72" t="inlineStr">
        <is>
          <t>维度权重 35%</t>
        </is>
      </c>
      <c r="D22" s="105">
        <f>SUMPRODUCT(D6:D10,E6:E10)/SUM(E6:E10)</f>
        <v/>
      </c>
      <c r="E22" s="106" t="n">
        <v>0.35</v>
      </c>
      <c r="F22" s="71">
        <f>D22*E22</f>
        <v/>
      </c>
      <c r="G22" s="107" t="inlineStr">
        <is>
          <t>维度分 × 维度权重</t>
        </is>
      </c>
    </row>
    <row r="23" ht="15" customHeight="1" s="61">
      <c r="B23" s="94" t="inlineStr">
        <is>
          <t>资金面</t>
        </is>
      </c>
      <c r="C23" s="72" t="inlineStr">
        <is>
          <t>维度权重 25%</t>
        </is>
      </c>
      <c r="D23" s="105">
        <f>SUMPRODUCT(D11:D13,E11:E13)/SUM(E11:E13)</f>
        <v/>
      </c>
      <c r="E23" s="106" t="n">
        <v>0.25</v>
      </c>
      <c r="F23" s="71">
        <f>D23*E23</f>
        <v/>
      </c>
      <c r="G23" s="107" t="inlineStr">
        <is>
          <t>维度分 × 维度权重</t>
        </is>
      </c>
    </row>
    <row r="24" ht="15" customHeight="1" s="61">
      <c r="B24" s="97" t="inlineStr">
        <is>
          <t>链上/基本面</t>
        </is>
      </c>
      <c r="C24" s="72" t="inlineStr">
        <is>
          <t>维度权重 20%</t>
        </is>
      </c>
      <c r="D24" s="105">
        <f>SUMPRODUCT(D14:D16,E14:E16)/SUM(E14:E16)</f>
        <v/>
      </c>
      <c r="E24" s="106" t="n">
        <v>0.2</v>
      </c>
      <c r="F24" s="71">
        <f>D24*E24</f>
        <v/>
      </c>
      <c r="G24" s="107" t="inlineStr">
        <is>
          <t>维度分 × 维度权重</t>
        </is>
      </c>
    </row>
    <row r="25" ht="15" customHeight="1" s="61">
      <c r="B25" s="96" t="inlineStr">
        <is>
          <t>衍生品情绪</t>
        </is>
      </c>
      <c r="C25" s="72" t="inlineStr">
        <is>
          <t>维度权重 20%</t>
        </is>
      </c>
      <c r="D25" s="105">
        <f>SUMPRODUCT(D17:D19,E17:E19)/SUM(E17:E19)</f>
        <v/>
      </c>
      <c r="E25" s="106" t="n">
        <v>0.2</v>
      </c>
      <c r="F25" s="71">
        <f>D25*E25</f>
        <v/>
      </c>
      <c r="G25" s="107" t="inlineStr">
        <is>
          <t>维度分 × 维度权重</t>
        </is>
      </c>
    </row>
    <row r="27" ht="15" customHeight="1" s="61">
      <c r="B27" s="104" t="inlineStr">
        <is>
          <t>单币原始分 (Σ维度分×维度权重)</t>
        </is>
      </c>
      <c r="F27" s="108">
        <f>SUM(F22:F25)</f>
        <v/>
      </c>
      <c r="G27" s="109" t="inlineStr">
        <is>
          <t>未叠加 regime</t>
        </is>
      </c>
    </row>
    <row r="29" ht="15" customHeight="1" s="61">
      <c r="B29" s="110" t="inlineStr">
        <is>
          <t>Regime 环境（宏观+行业周期）</t>
        </is>
      </c>
    </row>
    <row r="30" ht="15" customHeight="1" s="61">
      <c r="B30" s="111" t="inlineStr">
        <is>
          <t>宏观维度分</t>
        </is>
      </c>
      <c r="D30" s="100" t="n">
        <v>0.6</v>
      </c>
      <c r="E30" s="112" t="inlineStr">
        <is>
          <t>[-2,2] 手填</t>
        </is>
      </c>
    </row>
    <row r="31" ht="15" customHeight="1" s="61">
      <c r="B31" s="111" t="inlineStr">
        <is>
          <t>行业周期维度分</t>
        </is>
      </c>
      <c r="D31" s="100" t="n">
        <v>0.8</v>
      </c>
      <c r="E31" s="112" t="inlineStr">
        <is>
          <t>[-2,2] 手填</t>
        </is>
      </c>
    </row>
    <row r="32" ht="15" customHeight="1" s="61">
      <c r="B32" s="113" t="inlineStr">
        <is>
          <t>regime_score (归一到[-1,1])</t>
        </is>
      </c>
      <c r="D32" s="114">
        <f>(D30*0.5+D31*0.5)/2</f>
        <v/>
      </c>
      <c r="E32" s="112" t="inlineStr">
        <is>
          <t>(宏观×50%+周期×50%)/2</t>
        </is>
      </c>
    </row>
    <row r="33" ht="15" customHeight="1" s="61">
      <c r="B33" s="115" t="inlineStr">
        <is>
          <t>regime 做多系数</t>
        </is>
      </c>
      <c r="D33" s="114">
        <f>IF(D32&gt;0.3,1.1,IF(D32&lt;-0.3,0.5,0.85))</f>
        <v/>
      </c>
      <c r="E33" s="116" t="inlineStr">
        <is>
          <t>做多信号缩放</t>
        </is>
      </c>
    </row>
    <row r="35" ht="17.15" customHeight="1" s="61">
      <c r="B35" s="117" t="inlineStr">
        <is>
          <t>最终合成分 = 原始分 × regime系数</t>
        </is>
      </c>
      <c r="F35" s="118">
        <f>F27*D33</f>
        <v/>
      </c>
    </row>
    <row r="36" ht="17.15" customHeight="1" s="61">
      <c r="B36" s="119" t="inlineStr">
        <is>
          <t>动作分档</t>
        </is>
      </c>
      <c r="D36" s="120">
        <f>IF(F35&gt;=1,"强烈看多 / 加仓",IF(F35&gt;=0.4,"看多 / 建仓",IF(F35&gt;-0.4,"中性 / 观望",IF(F35&gt;-1,"看空 / 减仓","强烈看空 / 清仓"))))</f>
        <v/>
      </c>
      <c r="E36" s="74" t="n"/>
      <c r="F36" s="74" t="n"/>
      <c r="G36" s="74" t="n"/>
    </row>
    <row r="38" ht="25.5" customHeight="1" s="61">
      <c r="B38" s="121" t="inlineStr">
        <is>
          <t>注：此为演示用因子子集与占位分值。实盘请用规则表全量因子，并先回测校准维度权重后再采信动作。</t>
        </is>
      </c>
    </row>
  </sheetData>
  <mergeCells count="8">
    <mergeCell ref="B3:G3"/>
    <mergeCell ref="B2:G2"/>
    <mergeCell ref="B38:G38"/>
    <mergeCell ref="B27:E27"/>
    <mergeCell ref="B35:E35"/>
    <mergeCell ref="D36:G36"/>
    <mergeCell ref="B21:G21"/>
    <mergeCell ref="B29:G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2026-07-20T05:51:54Z</dcterms:created>
  <dcterms:modified xsi:type="dcterms:W3CDTF">2026-07-21T06:23:11Z</dcterms:modified>
  <cp:revision>0</cp:revision>
</cp:coreProperties>
</file>