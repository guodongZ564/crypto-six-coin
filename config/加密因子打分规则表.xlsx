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体系总览" sheetId="1" state="visible" r:id="rId3"/>
    <sheet name="2-打分规则表" sheetId="2" state="visible" r:id="rId4"/>
    <sheet name="3-ETH示例计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<sst xmlns="http://schemas.openxmlformats.org/spreadsheetml/2006/main" count="793" uniqueCount="393">
  <si>
    <r>
      <rPr>
        <b val="true"/>
        <sz val="16"/>
        <color rgb="FFFFFFFF"/>
        <rFont val="Noto Sans CJK SC"/>
        <family val="2"/>
      </rPr>
      <t xml:space="preserve">加密因子打分体系  </t>
    </r>
    <r>
      <rPr>
        <b val="true"/>
        <sz val="16"/>
        <color rgb="FFFFFFFF"/>
        <rFont val="Microsoft YaHei"/>
        <family val="0"/>
        <charset val="1"/>
      </rPr>
      <t xml:space="preserve">·  </t>
    </r>
    <r>
      <rPr>
        <b val="true"/>
        <sz val="16"/>
        <color rgb="FFFFFFFF"/>
        <rFont val="Noto Sans CJK SC"/>
        <family val="2"/>
      </rPr>
      <t xml:space="preserve">设计规则表</t>
    </r>
  </si>
  <si>
    <r>
      <rPr>
        <sz val="9"/>
        <color rgb="FFFFFFFF"/>
        <rFont val="Noto Sans CJK SC"/>
        <family val="2"/>
      </rPr>
      <t xml:space="preserve">覆盖 </t>
    </r>
    <r>
      <rPr>
        <sz val="9"/>
        <color rgb="FFFFFFFF"/>
        <rFont val="Microsoft YaHei"/>
        <family val="0"/>
        <charset val="1"/>
      </rPr>
      <t xml:space="preserve">BTC / ETH / SOL / UNI / LINK / LTC + </t>
    </r>
    <r>
      <rPr>
        <sz val="9"/>
        <color rgb="FFFFFFFF"/>
        <rFont val="Noto Sans CJK SC"/>
        <family val="2"/>
      </rPr>
      <t xml:space="preserve">宏观 </t>
    </r>
    <r>
      <rPr>
        <sz val="9"/>
        <color rgb="FFFFFFFF"/>
        <rFont val="Microsoft YaHei"/>
        <family val="0"/>
        <charset val="1"/>
      </rPr>
      <t xml:space="preserve">+ </t>
    </r>
    <r>
      <rPr>
        <sz val="9"/>
        <color rgb="FFFFFFFF"/>
        <rFont val="Noto Sans CJK SC"/>
        <family val="2"/>
      </rPr>
      <t xml:space="preserve">行业周期   </t>
    </r>
    <r>
      <rPr>
        <sz val="9"/>
        <color rgb="FFFFFFFF"/>
        <rFont val="Microsoft YaHei"/>
        <family val="0"/>
        <charset val="1"/>
      </rPr>
      <t xml:space="preserve">|   </t>
    </r>
    <r>
      <rPr>
        <sz val="9"/>
        <color rgb="FFFFFFFF"/>
        <rFont val="Noto Sans CJK SC"/>
        <family val="2"/>
      </rPr>
      <t xml:space="preserve">即时策略站   </t>
    </r>
    <r>
      <rPr>
        <sz val="9"/>
        <color rgb="FFFFFFFF"/>
        <rFont val="Microsoft YaHei"/>
        <family val="0"/>
        <charset val="1"/>
      </rPr>
      <t xml:space="preserve">|   </t>
    </r>
    <r>
      <rPr>
        <sz val="9"/>
        <color rgb="FFFFFFFF"/>
        <rFont val="Noto Sans CJK SC"/>
        <family val="2"/>
      </rPr>
      <t xml:space="preserve">与《六币种策略监控表》配套</t>
    </r>
  </si>
  <si>
    <t xml:space="preserve">一、核心逻辑（四步）</t>
  </si>
  <si>
    <r>
      <rPr>
        <sz val="10"/>
        <color rgb="FF000000"/>
        <rFont val="Microsoft YaHei"/>
        <family val="0"/>
        <charset val="1"/>
      </rPr>
      <t xml:space="preserve">1) </t>
    </r>
    <r>
      <rPr>
        <sz val="10"/>
        <color rgb="FF000000"/>
        <rFont val="Noto Sans CJK SC"/>
        <family val="2"/>
      </rPr>
      <t xml:space="preserve">单因子归一化：每个因子 → 方向分 </t>
    </r>
    <r>
      <rPr>
        <sz val="10"/>
        <color rgb="FF000000"/>
        <rFont val="Microsoft YaHei"/>
        <family val="0"/>
        <charset val="1"/>
      </rPr>
      <t xml:space="preserve">[-2, +2]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Microsoft YaHei"/>
        <family val="0"/>
        <charset val="1"/>
      </rPr>
      <t xml:space="preserve">+2 </t>
    </r>
    <r>
      <rPr>
        <sz val="10"/>
        <color rgb="FF000000"/>
        <rFont val="Noto Sans CJK SC"/>
        <family val="2"/>
      </rPr>
      <t xml:space="preserve">最看涨、</t>
    </r>
    <r>
      <rPr>
        <sz val="10"/>
        <color rgb="FF000000"/>
        <rFont val="Microsoft YaHei"/>
        <family val="0"/>
        <charset val="1"/>
      </rPr>
      <t xml:space="preserve">-2 </t>
    </r>
    <r>
      <rPr>
        <sz val="10"/>
        <color rgb="FF000000"/>
        <rFont val="Noto Sans CJK SC"/>
        <family val="2"/>
      </rPr>
      <t xml:space="preserve">最看跌、</t>
    </r>
    <r>
      <rPr>
        <sz val="10"/>
        <color rgb="FF000000"/>
        <rFont val="Microsoft YaHei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中性。阈值见「</t>
    </r>
    <r>
      <rPr>
        <sz val="10"/>
        <color rgb="FF000000"/>
        <rFont val="Microsoft YaHei"/>
        <family val="0"/>
        <charset val="1"/>
      </rPr>
      <t xml:space="preserve">2-</t>
    </r>
    <r>
      <rPr>
        <sz val="10"/>
        <color rgb="FF000000"/>
        <rFont val="Noto Sans CJK SC"/>
        <family val="2"/>
      </rPr>
      <t xml:space="preserve">打分规则表」。</t>
    </r>
  </si>
  <si>
    <r>
      <rPr>
        <sz val="10"/>
        <color rgb="FF000000"/>
        <rFont val="Microsoft YaHei"/>
        <family val="0"/>
        <charset val="1"/>
      </rPr>
      <t xml:space="preserve">2) </t>
    </r>
    <r>
      <rPr>
        <sz val="10"/>
        <color rgb="FF000000"/>
        <rFont val="Noto Sans CJK SC"/>
        <family val="2"/>
      </rPr>
      <t xml:space="preserve">维度合成：因子按维度加权求和（权重列 </t>
    </r>
    <r>
      <rPr>
        <sz val="10"/>
        <color rgb="FF000000"/>
        <rFont val="Microsoft YaHei"/>
        <family val="0"/>
        <charset val="1"/>
      </rPr>
      <t xml:space="preserve">3=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Microsoft YaHei"/>
        <family val="0"/>
        <charset val="1"/>
      </rPr>
      <t xml:space="preserve">/ 2=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Microsoft YaHei"/>
        <family val="0"/>
        <charset val="1"/>
      </rPr>
      <t xml:space="preserve">/ 1=</t>
    </r>
    <r>
      <rPr>
        <sz val="10"/>
        <color rgb="FF000000"/>
        <rFont val="Noto Sans CJK SC"/>
        <family val="2"/>
      </rPr>
      <t xml:space="preserve">低），得各维度分。</t>
    </r>
  </si>
  <si>
    <r>
      <rPr>
        <sz val="10"/>
        <color rgb="FF000000"/>
        <rFont val="Microsoft YaHei"/>
        <family val="0"/>
        <charset val="1"/>
      </rPr>
      <t xml:space="preserve">3) Regime </t>
    </r>
    <r>
      <rPr>
        <sz val="10"/>
        <color rgb="FF000000"/>
        <rFont val="Noto Sans CJK SC"/>
        <family val="2"/>
      </rPr>
      <t xml:space="preserve">叠加：宏观</t>
    </r>
    <r>
      <rPr>
        <sz val="10"/>
        <color rgb="FF000000"/>
        <rFont val="Microsoft YaHei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行业周期两层算出大环境系数，用来缩放单币信号（熊市里的买入信号打折、卖出信号加强）。</t>
    </r>
  </si>
  <si>
    <r>
      <rPr>
        <sz val="10"/>
        <color rgb="FF000000"/>
        <rFont val="Microsoft YaHei"/>
        <family val="0"/>
        <charset val="1"/>
      </rPr>
      <t xml:space="preserve">4) </t>
    </r>
    <r>
      <rPr>
        <sz val="10"/>
        <color rgb="FF000000"/>
        <rFont val="Noto Sans CJK SC"/>
        <family val="2"/>
      </rPr>
      <t xml:space="preserve">分档 → 动作：单币合成分映射到 强烈看多 </t>
    </r>
    <r>
      <rPr>
        <sz val="10"/>
        <color rgb="FF000000"/>
        <rFont val="Microsoft YaHei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看多 </t>
    </r>
    <r>
      <rPr>
        <sz val="10"/>
        <color rgb="FF000000"/>
        <rFont val="Microsoft YaHei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中性 </t>
    </r>
    <r>
      <rPr>
        <sz val="10"/>
        <color rgb="FF000000"/>
        <rFont val="Microsoft YaHei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看空 </t>
    </r>
    <r>
      <rPr>
        <sz val="10"/>
        <color rgb="FF000000"/>
        <rFont val="Microsoft YaHei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强烈看空，并附置信度。</t>
    </r>
  </si>
  <si>
    <t xml:space="preserve">二、权重结构</t>
  </si>
  <si>
    <r>
      <rPr>
        <b val="true"/>
        <sz val="10"/>
        <color rgb="FF000000"/>
        <rFont val="Microsoft YaHei"/>
        <family val="0"/>
        <charset val="1"/>
      </rPr>
      <t xml:space="preserve">Regime </t>
    </r>
    <r>
      <rPr>
        <b val="true"/>
        <sz val="10"/>
        <color rgb="FF000000"/>
        <rFont val="Noto Sans CJK SC"/>
        <family val="2"/>
      </rPr>
      <t xml:space="preserve">层（不进单币加权，单独算环境系数）：  宏观 </t>
    </r>
    <r>
      <rPr>
        <b val="true"/>
        <sz val="10"/>
        <color rgb="FF000000"/>
        <rFont val="Microsoft YaHei"/>
        <family val="0"/>
        <charset val="1"/>
      </rPr>
      <t xml:space="preserve">50%  +  </t>
    </r>
    <r>
      <rPr>
        <b val="true"/>
        <sz val="10"/>
        <color rgb="FF000000"/>
        <rFont val="Noto Sans CJK SC"/>
        <family val="2"/>
      </rPr>
      <t xml:space="preserve">行业周期 </t>
    </r>
    <r>
      <rPr>
        <b val="true"/>
        <sz val="10"/>
        <color rgb="FF000000"/>
        <rFont val="Microsoft YaHei"/>
        <family val="0"/>
        <charset val="1"/>
      </rPr>
      <t xml:space="preserve">50%</t>
    </r>
  </si>
  <si>
    <r>
      <rPr>
        <b val="true"/>
        <sz val="10"/>
        <color rgb="FF000000"/>
        <rFont val="Noto Sans CJK SC"/>
        <family val="2"/>
      </rPr>
      <t xml:space="preserve">单币层（四维度，和</t>
    </r>
    <r>
      <rPr>
        <b val="true"/>
        <sz val="10"/>
        <color rgb="FF000000"/>
        <rFont val="Microsoft YaHei"/>
        <family val="0"/>
        <charset val="1"/>
      </rPr>
      <t xml:space="preserve">=100%</t>
    </r>
    <r>
      <rPr>
        <b val="true"/>
        <sz val="10"/>
        <color rgb="FF000000"/>
        <rFont val="Noto Sans CJK SC"/>
        <family val="2"/>
      </rPr>
      <t xml:space="preserve">）：  技术面 </t>
    </r>
    <r>
      <rPr>
        <b val="true"/>
        <sz val="10"/>
        <color rgb="FF000000"/>
        <rFont val="Microsoft YaHei"/>
        <family val="0"/>
        <charset val="1"/>
      </rPr>
      <t xml:space="preserve">35%   |   </t>
    </r>
    <r>
      <rPr>
        <b val="true"/>
        <sz val="10"/>
        <color rgb="FF000000"/>
        <rFont val="Noto Sans CJK SC"/>
        <family val="2"/>
      </rPr>
      <t xml:space="preserve">资金面 </t>
    </r>
    <r>
      <rPr>
        <b val="true"/>
        <sz val="10"/>
        <color rgb="FF000000"/>
        <rFont val="Microsoft YaHei"/>
        <family val="0"/>
        <charset val="1"/>
      </rPr>
      <t xml:space="preserve">25%   |   </t>
    </r>
    <r>
      <rPr>
        <b val="true"/>
        <sz val="10"/>
        <color rgb="FF000000"/>
        <rFont val="Noto Sans CJK SC"/>
        <family val="2"/>
      </rPr>
      <t xml:space="preserve">链上</t>
    </r>
    <r>
      <rPr>
        <b val="true"/>
        <sz val="10"/>
        <color rgb="FF000000"/>
        <rFont val="Microsoft YaHe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基本面 </t>
    </r>
    <r>
      <rPr>
        <b val="true"/>
        <sz val="10"/>
        <color rgb="FF000000"/>
        <rFont val="Microsoft YaHei"/>
        <family val="0"/>
        <charset val="1"/>
      </rPr>
      <t xml:space="preserve">20%   |   </t>
    </r>
    <r>
      <rPr>
        <b val="true"/>
        <sz val="10"/>
        <color rgb="FF000000"/>
        <rFont val="Noto Sans CJK SC"/>
        <family val="2"/>
      </rPr>
      <t xml:space="preserve">衍生品情绪 </t>
    </r>
    <r>
      <rPr>
        <b val="true"/>
        <sz val="10"/>
        <color rgb="FF000000"/>
        <rFont val="Microsoft YaHei"/>
        <family val="0"/>
        <charset val="1"/>
      </rPr>
      <t xml:space="preserve">20%</t>
    </r>
  </si>
  <si>
    <r>
      <rPr>
        <sz val="10"/>
        <color rgb="FF6B7280"/>
        <rFont val="Noto Sans CJK SC"/>
        <family val="2"/>
      </rPr>
      <t xml:space="preserve">维度内：因子贡献 </t>
    </r>
    <r>
      <rPr>
        <sz val="10"/>
        <color rgb="FF6B7280"/>
        <rFont val="Microsoft YaHei"/>
        <family val="0"/>
        <charset val="1"/>
      </rPr>
      <t xml:space="preserve">= </t>
    </r>
    <r>
      <rPr>
        <sz val="10"/>
        <color rgb="FF6B7280"/>
        <rFont val="Noto Sans CJK SC"/>
        <family val="2"/>
      </rPr>
      <t xml:space="preserve">因子分 </t>
    </r>
    <r>
      <rPr>
        <sz val="10"/>
        <color rgb="FF6B7280"/>
        <rFont val="Microsoft YaHei"/>
        <family val="0"/>
        <charset val="1"/>
      </rPr>
      <t xml:space="preserve">× </t>
    </r>
    <r>
      <rPr>
        <sz val="10"/>
        <color rgb="FF6B7280"/>
        <rFont val="Noto Sans CJK SC"/>
        <family val="2"/>
      </rPr>
      <t xml:space="preserve">因子相对权重</t>
    </r>
    <r>
      <rPr>
        <sz val="10"/>
        <color rgb="FF6B7280"/>
        <rFont val="Microsoft YaHei"/>
        <family val="0"/>
        <charset val="1"/>
      </rPr>
      <t xml:space="preserve">(1~3)</t>
    </r>
    <r>
      <rPr>
        <sz val="10"/>
        <color rgb="FF6B7280"/>
        <rFont val="Noto Sans CJK SC"/>
        <family val="2"/>
      </rPr>
      <t xml:space="preserve">，维度分 </t>
    </r>
    <r>
      <rPr>
        <sz val="10"/>
        <color rgb="FF6B7280"/>
        <rFont val="Microsoft YaHei"/>
        <family val="0"/>
        <charset val="1"/>
      </rPr>
      <t xml:space="preserve">= </t>
    </r>
    <r>
      <rPr>
        <sz val="10"/>
        <color rgb="FF6B7280"/>
        <rFont val="Noto Sans CJK SC"/>
        <family val="2"/>
      </rPr>
      <t xml:space="preserve">加权平均。维度权重与因子权重都可在此调。</t>
    </r>
  </si>
  <si>
    <r>
      <rPr>
        <b val="true"/>
        <sz val="11"/>
        <color rgb="FFFFFFFF"/>
        <rFont val="Noto Sans CJK SC"/>
        <family val="2"/>
      </rPr>
      <t xml:space="preserve">三、</t>
    </r>
    <r>
      <rPr>
        <b val="true"/>
        <sz val="11"/>
        <color rgb="FFFFFFFF"/>
        <rFont val="Microsoft YaHei"/>
        <family val="0"/>
        <charset val="1"/>
      </rPr>
      <t xml:space="preserve">Regime </t>
    </r>
    <r>
      <rPr>
        <b val="true"/>
        <sz val="11"/>
        <color rgb="FFFFFFFF"/>
        <rFont val="Noto Sans CJK SC"/>
        <family val="2"/>
      </rPr>
      <t xml:space="preserve">环境系数（做多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做空信号缩放）</t>
    </r>
  </si>
  <si>
    <r>
      <rPr>
        <b val="true"/>
        <sz val="9"/>
        <color rgb="FFFFFFFF"/>
        <rFont val="Microsoft YaHei"/>
        <family val="0"/>
        <charset val="1"/>
      </rPr>
      <t xml:space="preserve">regime_score </t>
    </r>
    <r>
      <rPr>
        <b val="true"/>
        <sz val="9"/>
        <color rgb="FFFFFFFF"/>
        <rFont val="Noto Sans CJK SC"/>
        <family val="2"/>
      </rPr>
      <t xml:space="preserve">区间</t>
    </r>
  </si>
  <si>
    <t xml:space="preserve">环境判定</t>
  </si>
  <si>
    <r>
      <rPr>
        <b val="true"/>
        <sz val="9"/>
        <color rgb="FFFFFFFF"/>
        <rFont val="Noto Sans CJK SC"/>
        <family val="2"/>
      </rPr>
      <t xml:space="preserve">做多信号</t>
    </r>
    <r>
      <rPr>
        <b val="true"/>
        <sz val="9"/>
        <color rgb="FFFFFFFF"/>
        <rFont val="Microsoft YaHei"/>
        <family val="0"/>
        <charset val="1"/>
      </rPr>
      <t xml:space="preserve">×</t>
    </r>
  </si>
  <si>
    <r>
      <rPr>
        <b val="true"/>
        <sz val="9"/>
        <color rgb="FFFFFFFF"/>
        <rFont val="Noto Sans CJK SC"/>
        <family val="2"/>
      </rPr>
      <t xml:space="preserve">做空信号</t>
    </r>
    <r>
      <rPr>
        <b val="true"/>
        <sz val="9"/>
        <color rgb="FFFFFFFF"/>
        <rFont val="Microsoft YaHei"/>
        <family val="0"/>
        <charset val="1"/>
      </rPr>
      <t xml:space="preserve">×</t>
    </r>
  </si>
  <si>
    <t xml:space="preserve">&gt; +0.3</t>
  </si>
  <si>
    <r>
      <rPr>
        <sz val="9"/>
        <color rgb="FF000000"/>
        <rFont val="Noto Sans CJK SC"/>
        <family val="2"/>
      </rPr>
      <t xml:space="preserve">利多 </t>
    </r>
    <r>
      <rPr>
        <sz val="9"/>
        <color rgb="FF000000"/>
        <rFont val="Microsoft YaHei"/>
        <family val="0"/>
        <charset val="1"/>
      </rPr>
      <t xml:space="preserve">/ risk-on / </t>
    </r>
    <r>
      <rPr>
        <sz val="9"/>
        <color rgb="FF000000"/>
        <rFont val="Noto Sans CJK SC"/>
        <family val="2"/>
      </rPr>
      <t xml:space="preserve">牛</t>
    </r>
  </si>
  <si>
    <t xml:space="preserve">× 1.1</t>
  </si>
  <si>
    <t xml:space="preserve">× 0.8</t>
  </si>
  <si>
    <t xml:space="preserve">-0.3 ~ +0.3</t>
  </si>
  <si>
    <r>
      <rPr>
        <sz val="9"/>
        <color rgb="FF000000"/>
        <rFont val="Noto Sans CJK SC"/>
        <family val="2"/>
      </rPr>
      <t xml:space="preserve">中性 </t>
    </r>
    <r>
      <rPr>
        <sz val="9"/>
        <color rgb="FF000000"/>
        <rFont val="Microsoft YaHe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震荡</t>
    </r>
  </si>
  <si>
    <t xml:space="preserve">× 0.85</t>
  </si>
  <si>
    <t xml:space="preserve">&lt; -0.3</t>
  </si>
  <si>
    <r>
      <rPr>
        <sz val="9"/>
        <color rgb="FF000000"/>
        <rFont val="Noto Sans CJK SC"/>
        <family val="2"/>
      </rPr>
      <t xml:space="preserve">利空 </t>
    </r>
    <r>
      <rPr>
        <sz val="9"/>
        <color rgb="FF000000"/>
        <rFont val="Microsoft YaHei"/>
        <family val="0"/>
        <charset val="1"/>
      </rPr>
      <t xml:space="preserve">/ risk-off / </t>
    </r>
    <r>
      <rPr>
        <sz val="9"/>
        <color rgb="FF000000"/>
        <rFont val="Noto Sans CJK SC"/>
        <family val="2"/>
      </rPr>
      <t xml:space="preserve">熊</t>
    </r>
  </si>
  <si>
    <t xml:space="preserve">× 0.5</t>
  </si>
  <si>
    <t xml:space="preserve">× 1.2</t>
  </si>
  <si>
    <r>
      <rPr>
        <sz val="10"/>
        <color rgb="FF6B7280"/>
        <rFont val="Microsoft YaHei"/>
        <family val="0"/>
        <charset val="1"/>
      </rPr>
      <t xml:space="preserve">regime_score = (</t>
    </r>
    <r>
      <rPr>
        <sz val="10"/>
        <color rgb="FF6B7280"/>
        <rFont val="Noto Sans CJK SC"/>
        <family val="2"/>
      </rPr>
      <t xml:space="preserve">宏观维度分 </t>
    </r>
    <r>
      <rPr>
        <sz val="10"/>
        <color rgb="FF6B7280"/>
        <rFont val="Microsoft YaHei"/>
        <family val="0"/>
        <charset val="1"/>
      </rPr>
      <t xml:space="preserve">+ </t>
    </r>
    <r>
      <rPr>
        <sz val="10"/>
        <color rgb="FF6B7280"/>
        <rFont val="Noto Sans CJK SC"/>
        <family val="2"/>
      </rPr>
      <t xml:space="preserve">行业周期维度分</t>
    </r>
    <r>
      <rPr>
        <sz val="10"/>
        <color rgb="FF6B7280"/>
        <rFont val="Microsoft YaHei"/>
        <family val="0"/>
        <charset val="1"/>
      </rPr>
      <t xml:space="preserve">) </t>
    </r>
    <r>
      <rPr>
        <sz val="10"/>
        <color rgb="FF6B7280"/>
        <rFont val="Noto Sans CJK SC"/>
        <family val="2"/>
      </rPr>
      <t xml:space="preserve">归一化到 </t>
    </r>
    <r>
      <rPr>
        <sz val="10"/>
        <color rgb="FF6B7280"/>
        <rFont val="Microsoft YaHei"/>
        <family val="0"/>
        <charset val="1"/>
      </rPr>
      <t xml:space="preserve">[-1,+1]</t>
    </r>
    <r>
      <rPr>
        <sz val="10"/>
        <color rgb="FF6B7280"/>
        <rFont val="Noto Sans CJK SC"/>
        <family val="2"/>
      </rPr>
      <t xml:space="preserve">。它决定「敢不敢做、下多大仓」，而非单币方向本身。</t>
    </r>
  </si>
  <si>
    <r>
      <rPr>
        <b val="true"/>
        <sz val="11"/>
        <color rgb="FFFFFFFF"/>
        <rFont val="Noto Sans CJK SC"/>
        <family val="2"/>
      </rPr>
      <t xml:space="preserve">四、合成分 → 动作 分档（单币，已乘 </t>
    </r>
    <r>
      <rPr>
        <b val="true"/>
        <sz val="11"/>
        <color rgb="FFFFFFFF"/>
        <rFont val="Microsoft YaHei"/>
        <family val="0"/>
        <charset val="1"/>
      </rPr>
      <t xml:space="preserve">regime </t>
    </r>
    <r>
      <rPr>
        <b val="true"/>
        <sz val="11"/>
        <color rgb="FFFFFFFF"/>
        <rFont val="Noto Sans CJK SC"/>
        <family val="2"/>
      </rPr>
      <t xml:space="preserve">系数，范围约 </t>
    </r>
    <r>
      <rPr>
        <b val="true"/>
        <sz val="11"/>
        <color rgb="FFFFFFFF"/>
        <rFont val="Microsoft YaHei"/>
        <family val="0"/>
        <charset val="1"/>
      </rPr>
      <t xml:space="preserve">-2~+2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</si>
  <si>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合成分</t>
  </si>
  <si>
    <t xml:space="preserve">动作</t>
  </si>
  <si>
    <t xml:space="preserve">含义</t>
  </si>
  <si>
    <t xml:space="preserve">≥ +1.0</t>
  </si>
  <si>
    <r>
      <rPr>
        <b val="true"/>
        <sz val="9"/>
        <color rgb="FF000000"/>
        <rFont val="Noto Sans CJK SC"/>
        <family val="2"/>
      </rPr>
      <t xml:space="preserve">强烈看多 </t>
    </r>
    <r>
      <rPr>
        <b val="true"/>
        <sz val="9"/>
        <color rgb="FF000000"/>
        <rFont val="Microsoft YaHei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加仓</t>
    </r>
  </si>
  <si>
    <t xml:space="preserve">多因子同向共振，环境配合</t>
  </si>
  <si>
    <t xml:space="preserve">+0.4 ~ +1.0</t>
  </si>
  <si>
    <r>
      <rPr>
        <b val="true"/>
        <sz val="9"/>
        <color rgb="FF000000"/>
        <rFont val="Noto Sans CJK SC"/>
        <family val="2"/>
      </rPr>
      <t xml:space="preserve">看多 </t>
    </r>
    <r>
      <rPr>
        <b val="true"/>
        <sz val="9"/>
        <color rgb="FF000000"/>
        <rFont val="Microsoft YaHei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建仓</t>
    </r>
  </si>
  <si>
    <t xml:space="preserve">偏多，分批进场</t>
  </si>
  <si>
    <t xml:space="preserve">-0.4 ~ +0.4</t>
  </si>
  <si>
    <r>
      <rPr>
        <b val="true"/>
        <sz val="9"/>
        <color rgb="FF000000"/>
        <rFont val="Noto Sans CJK SC"/>
        <family val="2"/>
      </rPr>
      <t xml:space="preserve">中性 </t>
    </r>
    <r>
      <rPr>
        <b val="true"/>
        <sz val="9"/>
        <color rgb="FF000000"/>
        <rFont val="Microsoft YaHei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观望</t>
    </r>
  </si>
  <si>
    <t xml:space="preserve">信号分散或互相抵消，不动</t>
  </si>
  <si>
    <t xml:space="preserve">-1.0 ~ -0.4</t>
  </si>
  <si>
    <r>
      <rPr>
        <b val="true"/>
        <sz val="9"/>
        <color rgb="FF000000"/>
        <rFont val="Noto Sans CJK SC"/>
        <family val="2"/>
      </rPr>
      <t xml:space="preserve">看空 </t>
    </r>
    <r>
      <rPr>
        <b val="true"/>
        <sz val="9"/>
        <color rgb="FF000000"/>
        <rFont val="Microsoft YaHei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减仓</t>
    </r>
  </si>
  <si>
    <t xml:space="preserve">偏空，降低敞口</t>
  </si>
  <si>
    <t xml:space="preserve">≤ -1.0</t>
  </si>
  <si>
    <r>
      <rPr>
        <b val="true"/>
        <sz val="9"/>
        <color rgb="FF000000"/>
        <rFont val="Noto Sans CJK SC"/>
        <family val="2"/>
      </rPr>
      <t xml:space="preserve">强烈看空 </t>
    </r>
    <r>
      <rPr>
        <b val="true"/>
        <sz val="9"/>
        <color rgb="FF000000"/>
        <rFont val="Microsoft YaHei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清仓</t>
    </r>
  </si>
  <si>
    <t xml:space="preserve">多因子转空，环境恶化</t>
  </si>
  <si>
    <r>
      <rPr>
        <sz val="10"/>
        <color rgb="FF6B7280"/>
        <rFont val="Noto Sans CJK SC"/>
        <family val="2"/>
      </rPr>
      <t xml:space="preserve">置信度 </t>
    </r>
    <r>
      <rPr>
        <sz val="10"/>
        <color rgb="FF6B7280"/>
        <rFont val="Microsoft YaHei"/>
        <family val="0"/>
        <charset val="1"/>
      </rPr>
      <t xml:space="preserve">= </t>
    </r>
    <r>
      <rPr>
        <sz val="10"/>
        <color rgb="FF6B7280"/>
        <rFont val="Noto Sans CJK SC"/>
        <family val="2"/>
      </rPr>
      <t xml:space="preserve">同向因子数 </t>
    </r>
    <r>
      <rPr>
        <sz val="10"/>
        <color rgb="FF6B7280"/>
        <rFont val="Microsoft YaHei"/>
        <family val="0"/>
        <charset val="1"/>
      </rPr>
      <t xml:space="preserve">÷ </t>
    </r>
    <r>
      <rPr>
        <sz val="10"/>
        <color rgb="FF6B7280"/>
        <rFont val="Noto Sans CJK SC"/>
        <family val="2"/>
      </rPr>
      <t xml:space="preserve">有效因子数。</t>
    </r>
    <r>
      <rPr>
        <sz val="10"/>
        <color rgb="FF6B7280"/>
        <rFont val="Microsoft YaHei"/>
        <family val="0"/>
        <charset val="1"/>
      </rPr>
      <t xml:space="preserve">&gt;70% </t>
    </r>
    <r>
      <rPr>
        <sz val="10"/>
        <color rgb="FF6B7280"/>
        <rFont val="Noto Sans CJK SC"/>
        <family val="2"/>
      </rPr>
      <t xml:space="preserve">高、</t>
    </r>
    <r>
      <rPr>
        <sz val="10"/>
        <color rgb="FF6B7280"/>
        <rFont val="Microsoft YaHei"/>
        <family val="0"/>
        <charset val="1"/>
      </rPr>
      <t xml:space="preserve">50~70% </t>
    </r>
    <r>
      <rPr>
        <sz val="10"/>
        <color rgb="FF6B7280"/>
        <rFont val="Noto Sans CJK SC"/>
        <family val="2"/>
      </rPr>
      <t xml:space="preserve">中、</t>
    </r>
    <r>
      <rPr>
        <sz val="10"/>
        <color rgb="FF6B7280"/>
        <rFont val="Microsoft YaHei"/>
        <family val="0"/>
        <charset val="1"/>
      </rPr>
      <t xml:space="preserve">&lt;70%</t>
    </r>
    <r>
      <rPr>
        <sz val="10"/>
        <color rgb="FF6B7280"/>
        <rFont val="Noto Sans CJK SC"/>
        <family val="2"/>
      </rPr>
      <t xml:space="preserve">以下信号可再打折。合成分给方向，置信度给力度。</t>
    </r>
  </si>
  <si>
    <t xml:space="preserve">五、使用与风控说明</t>
  </si>
  <si>
    <t xml:space="preserve">• 反指因子（规则表标 ★反指）：数值越极端、方向越反向，是这套体系里最容易算反的地方，务必单独核对。</t>
  </si>
  <si>
    <r>
      <rPr>
        <sz val="10"/>
        <color rgb="FF000000"/>
        <rFont val="Noto Sans CJK SC"/>
        <family val="2"/>
      </rPr>
      <t xml:space="preserve">• 宏观为月频</t>
    </r>
    <r>
      <rPr>
        <sz val="10"/>
        <color rgb="FF000000"/>
        <rFont val="Microsoft YaHe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事件驱动：数据公布日才更新该因子分，其余日保持上次值；异动</t>
    </r>
    <r>
      <rPr>
        <sz val="10"/>
        <color rgb="FF000000"/>
        <rFont val="Microsoft YaHei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实际</t>
    </r>
    <r>
      <rPr>
        <sz val="10"/>
        <color rgb="FF000000"/>
        <rFont val="Microsoft YaHei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预期的意外幅度。</t>
    </r>
  </si>
  <si>
    <r>
      <rPr>
        <sz val="10"/>
        <color rgb="FF000000"/>
        <rFont val="Noto Sans CJK SC"/>
        <family val="2"/>
      </rPr>
      <t xml:space="preserve">• 本表是「决策支持」，不是自动下单信号。合成分给的是偏向</t>
    </r>
    <r>
      <rPr>
        <sz val="10"/>
        <color rgb="FF000000"/>
        <rFont val="Microsoft YaHei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置信度，扳机由你扣。上线前必须用历史回测校准权重与阈值，否则分数只是好看的数字。</t>
    </r>
  </si>
  <si>
    <r>
      <rPr>
        <sz val="10"/>
        <color rgb="FF000000"/>
        <rFont val="Noto Sans CJK SC"/>
        <family val="2"/>
      </rPr>
      <t xml:space="preserve">• 阈值里的百分位（如 </t>
    </r>
    <r>
      <rPr>
        <sz val="10"/>
        <color rgb="FF000000"/>
        <rFont val="Microsoft YaHei"/>
        <family val="0"/>
        <charset val="1"/>
      </rPr>
      <t xml:space="preserve">ETF </t>
    </r>
    <r>
      <rPr>
        <sz val="10"/>
        <color rgb="FF000000"/>
        <rFont val="Noto Sans CJK SC"/>
        <family val="2"/>
      </rPr>
      <t xml:space="preserve">流入</t>
    </r>
    <r>
      <rPr>
        <sz val="10"/>
        <color rgb="FF000000"/>
        <rFont val="Microsoft YaHei"/>
        <family val="0"/>
        <charset val="1"/>
      </rPr>
      <t xml:space="preserve">&gt;80</t>
    </r>
    <r>
      <rPr>
        <sz val="10"/>
        <color rgb="FF000000"/>
        <rFont val="Noto Sans CJK SC"/>
        <family val="2"/>
      </rPr>
      <t xml:space="preserve">分位）需要积累 </t>
    </r>
    <r>
      <rPr>
        <sz val="10"/>
        <color rgb="FF000000"/>
        <rFont val="Microsoft YaHei"/>
        <family val="0"/>
        <charset val="1"/>
      </rPr>
      <t xml:space="preserve">90~180 </t>
    </r>
    <r>
      <rPr>
        <sz val="10"/>
        <color rgb="FF000000"/>
        <rFont val="Noto Sans CJK SC"/>
        <family val="2"/>
      </rPr>
      <t xml:space="preserve">天历史序列后才有意义，先跑起来攒数据。</t>
    </r>
  </si>
  <si>
    <r>
      <rPr>
        <sz val="10"/>
        <color rgb="FF6B7280"/>
        <rFont val="Noto Sans CJK SC"/>
        <family val="2"/>
      </rPr>
      <t xml:space="preserve">• 黄色</t>
    </r>
    <r>
      <rPr>
        <sz val="10"/>
        <color rgb="FF6B7280"/>
        <rFont val="Microsoft YaHei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可手动调参处（见「</t>
    </r>
    <r>
      <rPr>
        <sz val="10"/>
        <color rgb="FF6B7280"/>
        <rFont val="Microsoft YaHei"/>
        <family val="0"/>
        <charset val="1"/>
      </rPr>
      <t xml:space="preserve">3-ETH</t>
    </r>
    <r>
      <rPr>
        <sz val="10"/>
        <color rgb="FF6B7280"/>
        <rFont val="Noto Sans CJK SC"/>
        <family val="2"/>
      </rPr>
      <t xml:space="preserve">示例计算」）。</t>
    </r>
  </si>
  <si>
    <r>
      <rPr>
        <b val="true"/>
        <sz val="14"/>
        <color rgb="FFFFFFFF"/>
        <rFont val="Noto Sans CJK SC"/>
        <family val="2"/>
      </rPr>
      <t xml:space="preserve">打分规则表 </t>
    </r>
    <r>
      <rPr>
        <b val="true"/>
        <sz val="14"/>
        <color rgb="FFFFFFFF"/>
        <rFont val="Microsoft YaHei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全因子</t>
    </r>
  </si>
  <si>
    <t xml:space="preserve">维度</t>
  </si>
  <si>
    <r>
      <rPr>
        <b val="true"/>
        <sz val="9"/>
        <color rgb="FFFFFFFF"/>
        <rFont val="Noto Sans CJK SC"/>
        <family val="2"/>
      </rPr>
      <t xml:space="preserve">因子 </t>
    </r>
    <r>
      <rPr>
        <b val="true"/>
        <sz val="9"/>
        <color rgb="FFFFFFFF"/>
        <rFont val="Microsoft YaHei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指标</t>
    </r>
  </si>
  <si>
    <t xml:space="preserve">适用</t>
  </si>
  <si>
    <t xml:space="preserve">看涨方向</t>
  </si>
  <si>
    <r>
      <rPr>
        <b val="true"/>
        <sz val="9"/>
        <color rgb="FFFFFFFF"/>
        <rFont val="Noto Sans CJK SC"/>
        <family val="2"/>
      </rPr>
      <t xml:space="preserve">归一化 </t>
    </r>
    <r>
      <rPr>
        <b val="true"/>
        <sz val="9"/>
        <color rgb="FFFFFFFF"/>
        <rFont val="Microsoft YaHei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阈值规则（→ 分值）</t>
    </r>
  </si>
  <si>
    <t xml:space="preserve">分值区间</t>
  </si>
  <si>
    <t xml:space="preserve">权重</t>
  </si>
  <si>
    <t xml:space="preserve">数据源</t>
  </si>
  <si>
    <t xml:space="preserve">自动化</t>
  </si>
  <si>
    <t xml:space="preserve">更新</t>
  </si>
  <si>
    <t xml:space="preserve">备注</t>
  </si>
  <si>
    <t xml:space="preserve">宏观</t>
  </si>
  <si>
    <r>
      <rPr>
        <sz val="9"/>
        <color rgb="FF000000"/>
        <rFont val="Noto Sans CJK SC"/>
        <family val="2"/>
      </rPr>
      <t xml:space="preserve">核心</t>
    </r>
    <r>
      <rPr>
        <sz val="9"/>
        <color rgb="FF000000"/>
        <rFont val="Microsoft YaHei"/>
        <family val="0"/>
        <charset val="1"/>
      </rPr>
      <t xml:space="preserve">CPI (MoM)</t>
    </r>
  </si>
  <si>
    <t xml:space="preserve">全市场</t>
  </si>
  <si>
    <t xml:space="preserve">通胀降温</t>
  </si>
  <si>
    <r>
      <rPr>
        <sz val="9"/>
        <color rgb="FF000000"/>
        <rFont val="Noto Sans CJK SC"/>
        <family val="2"/>
      </rPr>
      <t xml:space="preserve">实际</t>
    </r>
    <r>
      <rPr>
        <sz val="9"/>
        <color rgb="FF000000"/>
        <rFont val="Microsoft YaHei"/>
        <family val="0"/>
        <charset val="1"/>
      </rPr>
      <t xml:space="preserve">&lt;</t>
    </r>
    <r>
      <rPr>
        <sz val="9"/>
        <color rgb="FF000000"/>
        <rFont val="Noto Sans CJK SC"/>
        <family val="2"/>
      </rPr>
      <t xml:space="preserve">预期</t>
    </r>
    <r>
      <rPr>
        <sz val="9"/>
        <color rgb="FF000000"/>
        <rFont val="Microsoft YaHei"/>
        <family val="0"/>
        <charset val="1"/>
      </rPr>
      <t xml:space="preserve">-0.1%→+2</t>
    </r>
    <r>
      <rPr>
        <sz val="9"/>
        <color rgb="FF000000"/>
        <rFont val="Noto Sans CJK SC"/>
        <family val="2"/>
      </rPr>
      <t xml:space="preserve">；略低→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；符合→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；略高→</t>
    </r>
    <r>
      <rPr>
        <sz val="9"/>
        <color rgb="FF000000"/>
        <rFont val="Microsoft YaHei"/>
        <family val="0"/>
        <charset val="1"/>
      </rPr>
      <t xml:space="preserve">-1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&gt;</t>
    </r>
    <r>
      <rPr>
        <sz val="9"/>
        <color rgb="FF000000"/>
        <rFont val="Noto Sans CJK SC"/>
        <family val="2"/>
      </rPr>
      <t xml:space="preserve">预期</t>
    </r>
    <r>
      <rPr>
        <sz val="9"/>
        <color rgb="FF000000"/>
        <rFont val="Microsoft YaHei"/>
        <family val="0"/>
        <charset val="1"/>
      </rPr>
      <t xml:space="preserve">+0.1%→-2</t>
    </r>
  </si>
  <si>
    <t xml:space="preserve">±2</t>
  </si>
  <si>
    <t xml:space="preserve">3</t>
  </si>
  <si>
    <r>
      <rPr>
        <sz val="9"/>
        <color rgb="FF000000"/>
        <rFont val="Microsoft YaHei"/>
        <family val="0"/>
        <charset val="1"/>
      </rPr>
      <t xml:space="preserve">FRED/</t>
    </r>
    <r>
      <rPr>
        <sz val="9"/>
        <color rgb="FF000000"/>
        <rFont val="Noto Sans CJK SC"/>
        <family val="2"/>
      </rPr>
      <t xml:space="preserve">财经日历</t>
    </r>
  </si>
  <si>
    <t xml:space="preserve">半自动</t>
  </si>
  <si>
    <r>
      <rPr>
        <sz val="9"/>
        <color rgb="FF000000"/>
        <rFont val="Noto Sans CJK SC"/>
        <family val="2"/>
      </rPr>
      <t xml:space="preserve">月</t>
    </r>
    <r>
      <rPr>
        <sz val="9"/>
        <color rgb="FF000000"/>
        <rFont val="Microsoft YaHei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事件</t>
    </r>
  </si>
  <si>
    <t xml:space="preserve">预期差驱动</t>
  </si>
  <si>
    <r>
      <rPr>
        <sz val="9"/>
        <color rgb="FF000000"/>
        <rFont val="Noto Sans CJK SC"/>
        <family val="2"/>
      </rPr>
      <t xml:space="preserve">核心</t>
    </r>
    <r>
      <rPr>
        <sz val="9"/>
        <color rgb="FF000000"/>
        <rFont val="Microsoft YaHei"/>
        <family val="0"/>
        <charset val="1"/>
      </rPr>
      <t xml:space="preserve">PCE (MoM)</t>
    </r>
  </si>
  <si>
    <r>
      <rPr>
        <sz val="9"/>
        <color rgb="FF000000"/>
        <rFont val="Noto Sans CJK SC"/>
        <family val="2"/>
      </rPr>
      <t xml:space="preserve">同核心</t>
    </r>
    <r>
      <rPr>
        <sz val="9"/>
        <color rgb="FF000000"/>
        <rFont val="Microsoft YaHei"/>
        <family val="0"/>
        <charset val="1"/>
      </rPr>
      <t xml:space="preserve">CPI</t>
    </r>
  </si>
  <si>
    <t xml:space="preserve">FRED</t>
  </si>
  <si>
    <t xml:space="preserve">自动</t>
  </si>
  <si>
    <r>
      <rPr>
        <sz val="9"/>
        <color rgb="FF000000"/>
        <rFont val="Microsoft YaHei"/>
        <family val="0"/>
        <charset val="1"/>
      </rPr>
      <t xml:space="preserve">Fed </t>
    </r>
    <r>
      <rPr>
        <sz val="9"/>
        <color rgb="FF000000"/>
        <rFont val="Noto Sans CJK SC"/>
        <family val="2"/>
      </rPr>
      <t xml:space="preserve">最看重</t>
    </r>
  </si>
  <si>
    <r>
      <rPr>
        <sz val="9"/>
        <color rgb="FF000000"/>
        <rFont val="Noto Sans CJK SC"/>
        <family val="2"/>
      </rPr>
      <t xml:space="preserve">联邦基金利率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路径</t>
    </r>
  </si>
  <si>
    <t xml:space="preserve">降息</t>
  </si>
  <si>
    <r>
      <rPr>
        <sz val="9"/>
        <color rgb="FF000000"/>
        <rFont val="Noto Sans CJK SC"/>
        <family val="2"/>
      </rPr>
      <t xml:space="preserve">降息或点阵转鸽→</t>
    </r>
    <r>
      <rPr>
        <sz val="9"/>
        <color rgb="FF000000"/>
        <rFont val="Microsoft YaHei"/>
        <family val="0"/>
        <charset val="1"/>
      </rPr>
      <t xml:space="preserve">+2</t>
    </r>
    <r>
      <rPr>
        <sz val="9"/>
        <color rgb="FF000000"/>
        <rFont val="Noto Sans CJK SC"/>
        <family val="2"/>
      </rPr>
      <t xml:space="preserve">；偏鸽→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；中性→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；偏鹰→</t>
    </r>
    <r>
      <rPr>
        <sz val="9"/>
        <color rgb="FF000000"/>
        <rFont val="Microsoft YaHei"/>
        <family val="0"/>
        <charset val="1"/>
      </rPr>
      <t xml:space="preserve">-1</t>
    </r>
    <r>
      <rPr>
        <sz val="9"/>
        <color rgb="FF000000"/>
        <rFont val="Noto Sans CJK SC"/>
        <family val="2"/>
      </rPr>
      <t xml:space="preserve">；加息→</t>
    </r>
    <r>
      <rPr>
        <sz val="9"/>
        <color rgb="FF000000"/>
        <rFont val="Microsoft YaHei"/>
        <family val="0"/>
        <charset val="1"/>
      </rPr>
      <t xml:space="preserve">-2</t>
    </r>
  </si>
  <si>
    <t xml:space="preserve">FRED/FedWatch</t>
  </si>
  <si>
    <t xml:space="preserve">FOMC</t>
  </si>
  <si>
    <r>
      <rPr>
        <b val="true"/>
        <sz val="9"/>
        <color rgb="FFB00020"/>
        <rFont val="Microsoft YaHei"/>
        <family val="0"/>
        <charset val="1"/>
      </rPr>
      <t xml:space="preserve">★regime </t>
    </r>
    <r>
      <rPr>
        <b val="true"/>
        <sz val="9"/>
        <color rgb="FFB00020"/>
        <rFont val="Noto Sans CJK SC"/>
        <family val="2"/>
      </rPr>
      <t xml:space="preserve">主锚</t>
    </r>
  </si>
  <si>
    <r>
      <rPr>
        <sz val="9"/>
        <color rgb="FF000000"/>
        <rFont val="Microsoft YaHei"/>
        <family val="0"/>
        <charset val="1"/>
      </rPr>
      <t xml:space="preserve">M2 </t>
    </r>
    <r>
      <rPr>
        <sz val="9"/>
        <color rgb="FF000000"/>
        <rFont val="Noto Sans CJK SC"/>
        <family val="2"/>
      </rPr>
      <t xml:space="preserve">同比</t>
    </r>
  </si>
  <si>
    <t xml:space="preserve">扩张</t>
  </si>
  <si>
    <r>
      <rPr>
        <sz val="9"/>
        <color rgb="FF000000"/>
        <rFont val="Noto Sans CJK SC"/>
        <family val="2"/>
      </rPr>
      <t xml:space="preserve">回升转正→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；收缩→</t>
    </r>
    <r>
      <rPr>
        <sz val="9"/>
        <color rgb="FF000000"/>
        <rFont val="Microsoft YaHei"/>
        <family val="0"/>
        <charset val="1"/>
      </rPr>
      <t xml:space="preserve">-1.5</t>
    </r>
  </si>
  <si>
    <t xml:space="preserve">±1.5</t>
  </si>
  <si>
    <t xml:space="preserve">2</t>
  </si>
  <si>
    <t xml:space="preserve">月</t>
  </si>
  <si>
    <t xml:space="preserve">流动性总量</t>
  </si>
  <si>
    <r>
      <rPr>
        <sz val="9"/>
        <color rgb="FF000000"/>
        <rFont val="Noto Sans CJK SC"/>
        <family val="2"/>
      </rPr>
      <t xml:space="preserve">美债</t>
    </r>
    <r>
      <rPr>
        <sz val="9"/>
        <color rgb="FF000000"/>
        <rFont val="Microsoft YaHei"/>
        <family val="0"/>
        <charset val="1"/>
      </rPr>
      <t xml:space="preserve">10Y</t>
    </r>
    <r>
      <rPr>
        <sz val="9"/>
        <color rgb="FF000000"/>
        <rFont val="Noto Sans CJK SC"/>
        <family val="2"/>
      </rPr>
      <t xml:space="preserve">收益率</t>
    </r>
  </si>
  <si>
    <t xml:space="preserve">下行</t>
  </si>
  <si>
    <r>
      <rPr>
        <sz val="9"/>
        <color rgb="FF000000"/>
        <rFont val="Noto Sans CJK SC"/>
        <family val="2"/>
      </rPr>
      <t xml:space="preserve">快速下行→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；平稳→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；急升→</t>
    </r>
    <r>
      <rPr>
        <sz val="9"/>
        <color rgb="FF000000"/>
        <rFont val="Microsoft YaHei"/>
        <family val="0"/>
        <charset val="1"/>
      </rPr>
      <t xml:space="preserve">-2</t>
    </r>
  </si>
  <si>
    <t xml:space="preserve">+1~-2</t>
  </si>
  <si>
    <t xml:space="preserve">日</t>
  </si>
  <si>
    <t xml:space="preserve">急升杀估值</t>
  </si>
  <si>
    <r>
      <rPr>
        <sz val="9"/>
        <color rgb="FF000000"/>
        <rFont val="Microsoft YaHei"/>
        <family val="0"/>
        <charset val="1"/>
      </rPr>
      <t xml:space="preserve">ISM </t>
    </r>
    <r>
      <rPr>
        <sz val="9"/>
        <color rgb="FF000000"/>
        <rFont val="Noto Sans CJK SC"/>
        <family val="2"/>
      </rPr>
      <t xml:space="preserve">制造业</t>
    </r>
    <r>
      <rPr>
        <sz val="9"/>
        <color rgb="FF000000"/>
        <rFont val="Microsoft YaHei"/>
        <family val="0"/>
        <charset val="1"/>
      </rPr>
      <t xml:space="preserve">PMI</t>
    </r>
  </si>
  <si>
    <r>
      <rPr>
        <sz val="9"/>
        <color rgb="FF000000"/>
        <rFont val="Noto Sans CJK SC"/>
        <family val="2"/>
      </rPr>
      <t xml:space="preserve">回升且</t>
    </r>
    <r>
      <rPr>
        <sz val="9"/>
        <color rgb="FF000000"/>
        <rFont val="Microsoft YaHei"/>
        <family val="0"/>
        <charset val="1"/>
      </rPr>
      <t xml:space="preserve">&gt;50</t>
    </r>
  </si>
  <si>
    <r>
      <rPr>
        <sz val="9"/>
        <color rgb="FF000000"/>
        <rFont val="Noto Sans CJK SC"/>
        <family val="2"/>
      </rPr>
      <t xml:space="preserve">回升且</t>
    </r>
    <r>
      <rPr>
        <sz val="9"/>
        <color rgb="FF000000"/>
        <rFont val="Microsoft YaHei"/>
        <family val="0"/>
        <charset val="1"/>
      </rPr>
      <t xml:space="preserve">&gt;50→+1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&lt;50</t>
    </r>
    <r>
      <rPr>
        <sz val="9"/>
        <color rgb="FF000000"/>
        <rFont val="Noto Sans CJK SC"/>
        <family val="2"/>
      </rPr>
      <t xml:space="preserve">但回升→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；走弱→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</si>
  <si>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±1</t>
  </si>
  <si>
    <t xml:space="preserve">1</t>
  </si>
  <si>
    <t xml:space="preserve">investing/FRED</t>
  </si>
  <si>
    <t xml:space="preserve">景气</t>
  </si>
  <si>
    <r>
      <rPr>
        <sz val="9"/>
        <color rgb="FF000000"/>
        <rFont val="Noto Sans CJK SC"/>
        <family val="2"/>
      </rPr>
      <t xml:space="preserve">非农 </t>
    </r>
    <r>
      <rPr>
        <sz val="9"/>
        <color rgb="FF000000"/>
        <rFont val="Microsoft YaHei"/>
        <family val="0"/>
        <charset val="1"/>
      </rPr>
      <t xml:space="preserve">NFP</t>
    </r>
  </si>
  <si>
    <t xml:space="preserve">适度</t>
  </si>
  <si>
    <r>
      <rPr>
        <sz val="9"/>
        <color rgb="FF000000"/>
        <rFont val="Noto Sans CJK SC"/>
        <family val="2"/>
      </rPr>
      <t xml:space="preserve">崩溃</t>
    </r>
    <r>
      <rPr>
        <sz val="9"/>
        <color rgb="FF000000"/>
        <rFont val="Microsoft YaHei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衰退</t>
    </r>
    <r>
      <rPr>
        <sz val="9"/>
        <color rgb="FF000000"/>
        <rFont val="Microsoft YaHei"/>
        <family val="0"/>
        <charset val="1"/>
      </rPr>
      <t xml:space="preserve">)→-1</t>
    </r>
    <r>
      <rPr>
        <sz val="9"/>
        <color rgb="FF000000"/>
        <rFont val="Noto Sans CJK SC"/>
        <family val="2"/>
      </rPr>
      <t xml:space="preserve">；远超预期</t>
    </r>
    <r>
      <rPr>
        <sz val="9"/>
        <color rgb="FF000000"/>
        <rFont val="Microsoft YaHei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推迟降息</t>
    </r>
    <r>
      <rPr>
        <sz val="9"/>
        <color rgb="FF000000"/>
        <rFont val="Microsoft YaHei"/>
        <family val="0"/>
        <charset val="1"/>
      </rPr>
      <t xml:space="preserve">)→-1</t>
    </r>
    <r>
      <rPr>
        <sz val="9"/>
        <color rgb="FF000000"/>
        <rFont val="Noto Sans CJK SC"/>
        <family val="2"/>
      </rPr>
      <t xml:space="preserve">；温和→</t>
    </r>
    <r>
      <rPr>
        <sz val="9"/>
        <color rgb="FF000000"/>
        <rFont val="Microsoft YaHei"/>
        <family val="0"/>
        <charset val="1"/>
      </rPr>
      <t xml:space="preserve">0</t>
    </r>
  </si>
  <si>
    <t xml:space="preserve">-1~+0.5</t>
  </si>
  <si>
    <r>
      <rPr>
        <sz val="9"/>
        <color rgb="FF000000"/>
        <rFont val="Microsoft YaHei"/>
        <family val="0"/>
        <charset val="1"/>
      </rPr>
      <t xml:space="preserve">FRED/</t>
    </r>
    <r>
      <rPr>
        <sz val="9"/>
        <color rgb="FF000000"/>
        <rFont val="Noto Sans CJK SC"/>
        <family val="2"/>
      </rPr>
      <t xml:space="preserve">日历</t>
    </r>
  </si>
  <si>
    <r>
      <rPr>
        <sz val="9"/>
        <color rgb="FF000000"/>
        <rFont val="Noto Sans CJK SC"/>
        <family val="2"/>
      </rPr>
      <t xml:space="preserve">双刃</t>
    </r>
    <r>
      <rPr>
        <sz val="9"/>
        <color rgb="FF000000"/>
        <rFont val="Microsoft YaHei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意外</t>
    </r>
  </si>
  <si>
    <t xml:space="preserve">PPI (MoM)</t>
  </si>
  <si>
    <t xml:space="preserve">降温</t>
  </si>
  <si>
    <r>
      <rPr>
        <sz val="9"/>
        <color rgb="FF000000"/>
        <rFont val="Noto Sans CJK SC"/>
        <family val="2"/>
      </rPr>
      <t xml:space="preserve">同</t>
    </r>
    <r>
      <rPr>
        <sz val="9"/>
        <color rgb="FF000000"/>
        <rFont val="Microsoft YaHei"/>
        <family val="0"/>
        <charset val="1"/>
      </rPr>
      <t xml:space="preserve">CPI</t>
    </r>
    <r>
      <rPr>
        <sz val="9"/>
        <color rgb="FF000000"/>
        <rFont val="Noto Sans CJK SC"/>
        <family val="2"/>
      </rPr>
      <t xml:space="preserve">逻辑，权重减半</t>
    </r>
  </si>
  <si>
    <t xml:space="preserve">investing</t>
  </si>
  <si>
    <r>
      <rPr>
        <sz val="9"/>
        <color rgb="FF000000"/>
        <rFont val="Microsoft YaHei"/>
        <family val="0"/>
        <charset val="1"/>
      </rPr>
      <t xml:space="preserve">CPI </t>
    </r>
    <r>
      <rPr>
        <sz val="9"/>
        <color rgb="FF000000"/>
        <rFont val="Noto Sans CJK SC"/>
        <family val="2"/>
      </rPr>
      <t xml:space="preserve">先行</t>
    </r>
  </si>
  <si>
    <t xml:space="preserve">GDP (QoQ)</t>
  </si>
  <si>
    <t xml:space="preserve">温和增长</t>
  </si>
  <si>
    <r>
      <rPr>
        <sz val="9"/>
        <color rgb="FF000000"/>
        <rFont val="Noto Sans CJK SC"/>
        <family val="2"/>
      </rPr>
      <t xml:space="preserve">温和→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；衰退→</t>
    </r>
    <r>
      <rPr>
        <sz val="9"/>
        <color rgb="FF000000"/>
        <rFont val="Microsoft YaHei"/>
        <family val="0"/>
        <charset val="1"/>
      </rPr>
      <t xml:space="preserve">-1</t>
    </r>
    <r>
      <rPr>
        <sz val="9"/>
        <color rgb="FF000000"/>
        <rFont val="Noto Sans CJK SC"/>
        <family val="2"/>
      </rPr>
      <t xml:space="preserve">（背景项）</t>
    </r>
  </si>
  <si>
    <t xml:space="preserve">季</t>
  </si>
  <si>
    <t xml:space="preserve">太慢</t>
  </si>
  <si>
    <t xml:space="preserve">全球央行降息比例</t>
  </si>
  <si>
    <t xml:space="preserve">降息占优</t>
  </si>
  <si>
    <r>
      <rPr>
        <sz val="9"/>
        <color rgb="FF000000"/>
        <rFont val="Noto Sans CJK SC"/>
        <family val="2"/>
      </rPr>
      <t xml:space="preserve">降息占比升→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；加息占优→</t>
    </r>
    <r>
      <rPr>
        <sz val="9"/>
        <color rgb="FF000000"/>
        <rFont val="Microsoft YaHei"/>
        <family val="0"/>
        <charset val="1"/>
      </rPr>
      <t xml:space="preserve">-1.5</t>
    </r>
  </si>
  <si>
    <t xml:space="preserve">macromicro</t>
  </si>
  <si>
    <t xml:space="preserve">手动</t>
  </si>
  <si>
    <t xml:space="preserve">全球流动性</t>
  </si>
  <si>
    <t xml:space="preserve">行业周期</t>
  </si>
  <si>
    <t xml:space="preserve">牛市信号评分</t>
  </si>
  <si>
    <t xml:space="preserve">高但未极端</t>
  </si>
  <si>
    <t xml:space="preserve">按看板读数线性映射；极端高警惕见顶</t>
  </si>
  <si>
    <t xml:space="preserve">CryptoQuant</t>
  </si>
  <si>
    <t xml:space="preserve">周</t>
  </si>
  <si>
    <t xml:space="preserve">综合温度</t>
  </si>
  <si>
    <t xml:space="preserve">恐慌贪婪指数</t>
  </si>
  <si>
    <t xml:space="preserve">极度恐慌</t>
  </si>
  <si>
    <r>
      <rPr>
        <sz val="9"/>
        <color rgb="FF000000"/>
        <rFont val="Microsoft YaHei"/>
        <family val="0"/>
        <charset val="1"/>
      </rPr>
      <t xml:space="preserve">&lt;20→+2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20-40→+1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40-60→0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60-80→-1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&gt;80→-2</t>
    </r>
  </si>
  <si>
    <t xml:space="preserve">Alternative.me</t>
  </si>
  <si>
    <t xml:space="preserve">★反指</t>
  </si>
  <si>
    <t xml:space="preserve">稳定币总量</t>
  </si>
  <si>
    <r>
      <rPr>
        <sz val="9"/>
        <color rgb="FF000000"/>
        <rFont val="Noto Sans CJK SC"/>
        <family val="2"/>
      </rPr>
      <t xml:space="preserve">创新高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加速→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；收缩→</t>
    </r>
    <r>
      <rPr>
        <sz val="9"/>
        <color rgb="FF000000"/>
        <rFont val="Microsoft YaHei"/>
        <family val="0"/>
        <charset val="1"/>
      </rPr>
      <t xml:space="preserve">-1.5</t>
    </r>
  </si>
  <si>
    <t xml:space="preserve">DefiLlama</t>
  </si>
  <si>
    <t xml:space="preserve">场外弹药</t>
  </si>
  <si>
    <r>
      <rPr>
        <sz val="9"/>
        <color rgb="FF000000"/>
        <rFont val="Microsoft YaHei"/>
        <family val="0"/>
        <charset val="1"/>
      </rPr>
      <t xml:space="preserve">BTC </t>
    </r>
    <r>
      <rPr>
        <sz val="9"/>
        <color rgb="FF000000"/>
        <rFont val="Noto Sans CJK SC"/>
        <family val="2"/>
      </rPr>
      <t xml:space="preserve">价格 </t>
    </r>
    <r>
      <rPr>
        <sz val="9"/>
        <color rgb="FF000000"/>
        <rFont val="Microsoft YaHei"/>
        <family val="0"/>
        <charset val="1"/>
      </rPr>
      <t xml:space="preserve">vs 200</t>
    </r>
    <r>
      <rPr>
        <sz val="9"/>
        <color rgb="FF000000"/>
        <rFont val="Noto Sans CJK SC"/>
        <family val="2"/>
      </rPr>
      <t xml:space="preserve">周</t>
    </r>
    <r>
      <rPr>
        <sz val="9"/>
        <color rgb="FF000000"/>
        <rFont val="Microsoft YaHei"/>
        <family val="0"/>
        <charset val="1"/>
      </rPr>
      <t xml:space="preserve">MA</t>
    </r>
  </si>
  <si>
    <t xml:space="preserve">在上方</t>
  </si>
  <si>
    <r>
      <rPr>
        <sz val="9"/>
        <color rgb="FF000000"/>
        <rFont val="Noto Sans CJK SC"/>
        <family val="2"/>
      </rPr>
      <t xml:space="preserve">在上方→</t>
    </r>
    <r>
      <rPr>
        <sz val="9"/>
        <color rgb="FF000000"/>
        <rFont val="Microsoft YaHei"/>
        <family val="0"/>
        <charset val="1"/>
      </rPr>
      <t xml:space="preserve">+2</t>
    </r>
    <r>
      <rPr>
        <sz val="9"/>
        <color rgb="FF000000"/>
        <rFont val="Noto Sans CJK SC"/>
        <family val="2"/>
      </rPr>
      <t xml:space="preserve">；附近→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；跌破→</t>
    </r>
    <r>
      <rPr>
        <sz val="9"/>
        <color rgb="FF000000"/>
        <rFont val="Microsoft YaHei"/>
        <family val="0"/>
        <charset val="1"/>
      </rPr>
      <t xml:space="preserve">-2</t>
    </r>
  </si>
  <si>
    <r>
      <rPr>
        <sz val="9"/>
        <color rgb="FF000000"/>
        <rFont val="Microsoft YaHei"/>
        <family val="0"/>
        <charset val="1"/>
      </rPr>
      <t xml:space="preserve">ccxt </t>
    </r>
    <r>
      <rPr>
        <sz val="9"/>
        <color rgb="FF000000"/>
        <rFont val="Noto Sans CJK SC"/>
        <family val="2"/>
      </rPr>
      <t xml:space="preserve">计算</t>
    </r>
  </si>
  <si>
    <t xml:space="preserve">★牛熊分水岭</t>
  </si>
  <si>
    <r>
      <rPr>
        <sz val="9"/>
        <color rgb="FF000000"/>
        <rFont val="Microsoft YaHei"/>
        <family val="0"/>
        <charset val="1"/>
      </rPr>
      <t xml:space="preserve">BTC </t>
    </r>
    <r>
      <rPr>
        <sz val="9"/>
        <color rgb="FF000000"/>
        <rFont val="Noto Sans CJK SC"/>
        <family val="2"/>
      </rPr>
      <t xml:space="preserve">月线</t>
    </r>
    <r>
      <rPr>
        <sz val="9"/>
        <color rgb="FF000000"/>
        <rFont val="Microsoft YaHei"/>
        <family val="0"/>
        <charset val="1"/>
      </rPr>
      <t xml:space="preserve">MACD</t>
    </r>
  </si>
  <si>
    <t xml:space="preserve">柱转正</t>
  </si>
  <si>
    <r>
      <rPr>
        <sz val="9"/>
        <color rgb="FF000000"/>
        <rFont val="Noto Sans CJK SC"/>
        <family val="2"/>
      </rPr>
      <t xml:space="preserve">金叉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柱放大→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；柱缩→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；死叉→</t>
    </r>
    <r>
      <rPr>
        <sz val="9"/>
        <color rgb="FF000000"/>
        <rFont val="Microsoft YaHei"/>
        <family val="0"/>
        <charset val="1"/>
      </rPr>
      <t xml:space="preserve">-1.5</t>
    </r>
  </si>
  <si>
    <t xml:space="preserve">超长期动能</t>
  </si>
  <si>
    <r>
      <rPr>
        <sz val="9"/>
        <color rgb="FF000000"/>
        <rFont val="Microsoft YaHei"/>
        <family val="0"/>
        <charset val="1"/>
      </rPr>
      <t xml:space="preserve">BTC </t>
    </r>
    <r>
      <rPr>
        <sz val="9"/>
        <color rgb="FF000000"/>
        <rFont val="Noto Sans CJK SC"/>
        <family val="2"/>
      </rPr>
      <t xml:space="preserve">亏损供应比</t>
    </r>
  </si>
  <si>
    <r>
      <rPr>
        <sz val="9"/>
        <color rgb="FF000000"/>
        <rFont val="Noto Sans CJK SC"/>
        <family val="2"/>
      </rPr>
      <t xml:space="preserve">高</t>
    </r>
    <r>
      <rPr>
        <sz val="9"/>
        <color rgb="FF000000"/>
        <rFont val="Microsoft YaHei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近底</t>
    </r>
    <r>
      <rPr>
        <sz val="9"/>
        <color rgb="FF000000"/>
        <rFont val="Microsoft YaHei"/>
        <family val="0"/>
        <charset val="1"/>
      </rPr>
      <t xml:space="preserve">)</t>
    </r>
  </si>
  <si>
    <r>
      <rPr>
        <sz val="9"/>
        <color rgb="FF000000"/>
        <rFont val="Microsoft YaHei"/>
        <family val="0"/>
        <charset val="1"/>
      </rPr>
      <t xml:space="preserve">&gt;50%→+2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30-50→+1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10-30→0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&lt;10→-1</t>
    </r>
  </si>
  <si>
    <t xml:space="preserve">+2~-1</t>
  </si>
  <si>
    <t xml:space="preserve">★底部反指</t>
  </si>
  <si>
    <r>
      <rPr>
        <sz val="9"/>
        <color rgb="FF000000"/>
        <rFont val="Microsoft YaHei"/>
        <family val="0"/>
        <charset val="1"/>
      </rPr>
      <t xml:space="preserve">BTC </t>
    </r>
    <r>
      <rPr>
        <sz val="9"/>
        <color rgb="FF000000"/>
        <rFont val="Noto Sans CJK SC"/>
        <family val="2"/>
      </rPr>
      <t xml:space="preserve">利润供应</t>
    </r>
    <r>
      <rPr>
        <sz val="9"/>
        <color rgb="FF000000"/>
        <rFont val="Microsoft YaHei"/>
        <family val="0"/>
        <charset val="1"/>
      </rPr>
      <t xml:space="preserve">%</t>
    </r>
  </si>
  <si>
    <t xml:space="preserve">非极端高</t>
  </si>
  <si>
    <r>
      <rPr>
        <sz val="9"/>
        <color rgb="FF000000"/>
        <rFont val="Microsoft YaHei"/>
        <family val="0"/>
        <charset val="1"/>
      </rPr>
      <t xml:space="preserve">&gt;95%→-2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80-95→-1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50-80→0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&lt;50→+1</t>
    </r>
  </si>
  <si>
    <t xml:space="preserve">★顶部指标</t>
  </si>
  <si>
    <t xml:space="preserve">牛熊周期指标</t>
  </si>
  <si>
    <t xml:space="preserve">周期早中段</t>
  </si>
  <si>
    <r>
      <rPr>
        <sz val="9"/>
        <color rgb="FF000000"/>
        <rFont val="Noto Sans CJK SC"/>
        <family val="2"/>
      </rPr>
      <t xml:space="preserve">按阶段映射：底部→</t>
    </r>
    <r>
      <rPr>
        <sz val="9"/>
        <color rgb="FF000000"/>
        <rFont val="Microsoft YaHei"/>
        <family val="0"/>
        <charset val="1"/>
      </rPr>
      <t xml:space="preserve">+2 … </t>
    </r>
    <r>
      <rPr>
        <sz val="9"/>
        <color rgb="FF000000"/>
        <rFont val="Noto Sans CJK SC"/>
        <family val="2"/>
      </rPr>
      <t xml:space="preserve">顶部→</t>
    </r>
    <r>
      <rPr>
        <sz val="9"/>
        <color rgb="FF000000"/>
        <rFont val="Microsoft YaHei"/>
        <family val="0"/>
        <charset val="1"/>
      </rPr>
      <t xml:space="preserve">-2</t>
    </r>
  </si>
  <si>
    <t xml:space="preserve">周期位置</t>
  </si>
  <si>
    <t xml:space="preserve">山寨季指数</t>
  </si>
  <si>
    <r>
      <rPr>
        <sz val="9"/>
        <color rgb="FF000000"/>
        <rFont val="Noto Sans CJK SC"/>
        <family val="2"/>
      </rPr>
      <t xml:space="preserve">山寨</t>
    </r>
    <r>
      <rPr>
        <sz val="9"/>
        <color rgb="FF000000"/>
        <rFont val="Microsoft YaHei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非</t>
    </r>
    <r>
      <rPr>
        <sz val="9"/>
        <color rgb="FF000000"/>
        <rFont val="Microsoft YaHei"/>
        <family val="0"/>
        <charset val="1"/>
      </rPr>
      <t xml:space="preserve">BTC)</t>
    </r>
  </si>
  <si>
    <t xml:space="preserve">山寨季</t>
  </si>
  <si>
    <r>
      <rPr>
        <sz val="9"/>
        <color rgb="FF000000"/>
        <rFont val="Microsoft YaHei"/>
        <family val="0"/>
        <charset val="1"/>
      </rPr>
      <t xml:space="preserve">&gt;75→</t>
    </r>
    <r>
      <rPr>
        <sz val="9"/>
        <color rgb="FF000000"/>
        <rFont val="Noto Sans CJK SC"/>
        <family val="2"/>
      </rPr>
      <t xml:space="preserve">非</t>
    </r>
    <r>
      <rPr>
        <sz val="9"/>
        <color rgb="FF000000"/>
        <rFont val="Microsoft YaHei"/>
        <family val="0"/>
        <charset val="1"/>
      </rPr>
      <t xml:space="preserve">BTC</t>
    </r>
    <r>
      <rPr>
        <sz val="9"/>
        <color rgb="FF000000"/>
        <rFont val="Noto Sans CJK SC"/>
        <family val="2"/>
      </rPr>
      <t xml:space="preserve">币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25-75→0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&lt;25→-1</t>
    </r>
  </si>
  <si>
    <t xml:space="preserve">+1.5~-1</t>
  </si>
  <si>
    <t xml:space="preserve">blockchaincenter</t>
  </si>
  <si>
    <t xml:space="preserve">轮动门控</t>
  </si>
  <si>
    <r>
      <rPr>
        <sz val="9"/>
        <color rgb="FF000000"/>
        <rFont val="Microsoft YaHei"/>
        <family val="0"/>
        <charset val="1"/>
      </rPr>
      <t xml:space="preserve">BTC </t>
    </r>
    <r>
      <rPr>
        <sz val="9"/>
        <color rgb="FF000000"/>
        <rFont val="Noto Sans CJK SC"/>
        <family val="2"/>
      </rPr>
      <t xml:space="preserve">市占率 </t>
    </r>
    <r>
      <rPr>
        <sz val="9"/>
        <color rgb="FF000000"/>
        <rFont val="Microsoft YaHei"/>
        <family val="0"/>
        <charset val="1"/>
      </rPr>
      <t xml:space="preserve">dominance</t>
    </r>
  </si>
  <si>
    <r>
      <rPr>
        <sz val="9"/>
        <color rgb="FF000000"/>
        <rFont val="Noto Sans CJK SC"/>
        <family val="2"/>
      </rPr>
      <t xml:space="preserve">下行→山寨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；上行→山寨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</si>
  <si>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CoinGecko</t>
  </si>
  <si>
    <t xml:space="preserve">资金集中度</t>
  </si>
  <si>
    <t xml:space="preserve">资金面</t>
  </si>
  <si>
    <r>
      <rPr>
        <sz val="9"/>
        <color rgb="FF000000"/>
        <rFont val="Noto Sans CJK SC"/>
        <family val="2"/>
      </rPr>
      <t xml:space="preserve">现货</t>
    </r>
    <r>
      <rPr>
        <sz val="9"/>
        <color rgb="FF000000"/>
        <rFont val="Microsoft YaHei"/>
        <family val="0"/>
        <charset val="1"/>
      </rPr>
      <t xml:space="preserve">ETF </t>
    </r>
    <r>
      <rPr>
        <sz val="9"/>
        <color rgb="FF000000"/>
        <rFont val="Noto Sans CJK SC"/>
        <family val="2"/>
      </rPr>
      <t xml:space="preserve">日净流入</t>
    </r>
  </si>
  <si>
    <t xml:space="preserve">BTC/ETH/SOL</t>
  </si>
  <si>
    <t xml:space="preserve">净流入</t>
  </si>
  <si>
    <r>
      <rPr>
        <sz val="9"/>
        <color rgb="FF000000"/>
        <rFont val="Noto Sans CJK SC"/>
        <family val="2"/>
      </rPr>
      <t xml:space="preserve">大额流入</t>
    </r>
    <r>
      <rPr>
        <sz val="9"/>
        <color rgb="FF000000"/>
        <rFont val="Microsoft YaHei"/>
        <family val="0"/>
        <charset val="1"/>
      </rPr>
      <t xml:space="preserve">(&gt;80</t>
    </r>
    <r>
      <rPr>
        <sz val="9"/>
        <color rgb="FF000000"/>
        <rFont val="Noto Sans CJK SC"/>
        <family val="2"/>
      </rPr>
      <t xml:space="preserve">分位</t>
    </r>
    <r>
      <rPr>
        <sz val="9"/>
        <color rgb="FF000000"/>
        <rFont val="Microsoft YaHei"/>
        <family val="0"/>
        <charset val="1"/>
      </rPr>
      <t xml:space="preserve">)→+2</t>
    </r>
    <r>
      <rPr>
        <sz val="9"/>
        <color rgb="FF000000"/>
        <rFont val="Noto Sans CJK SC"/>
        <family val="2"/>
      </rPr>
      <t xml:space="preserve">；温和→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；持平→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；流出→</t>
    </r>
    <r>
      <rPr>
        <sz val="9"/>
        <color rgb="FF000000"/>
        <rFont val="Microsoft YaHei"/>
        <family val="0"/>
        <charset val="1"/>
      </rPr>
      <t xml:space="preserve">-1</t>
    </r>
    <r>
      <rPr>
        <sz val="9"/>
        <color rgb="FF000000"/>
        <rFont val="Noto Sans CJK SC"/>
        <family val="2"/>
      </rPr>
      <t xml:space="preserve">；大额流出→</t>
    </r>
    <r>
      <rPr>
        <sz val="9"/>
        <color rgb="FF000000"/>
        <rFont val="Microsoft YaHei"/>
        <family val="0"/>
        <charset val="1"/>
      </rPr>
      <t xml:space="preserve">-2</t>
    </r>
  </si>
  <si>
    <t xml:space="preserve">Farside/SoSoValue</t>
  </si>
  <si>
    <t xml:space="preserve">需爬取</t>
  </si>
  <si>
    <t xml:space="preserve">机构盘</t>
  </si>
  <si>
    <r>
      <rPr>
        <sz val="9"/>
        <color rgb="FF000000"/>
        <rFont val="Microsoft YaHei"/>
        <family val="0"/>
        <charset val="1"/>
      </rPr>
      <t xml:space="preserve">ETF </t>
    </r>
    <r>
      <rPr>
        <sz val="9"/>
        <color rgb="FF000000"/>
        <rFont val="Noto Sans CJK SC"/>
        <family val="2"/>
      </rPr>
      <t xml:space="preserve">总</t>
    </r>
    <r>
      <rPr>
        <sz val="9"/>
        <color rgb="FF000000"/>
        <rFont val="Microsoft YaHei"/>
        <family val="0"/>
        <charset val="1"/>
      </rPr>
      <t xml:space="preserve">AUM </t>
    </r>
    <r>
      <rPr>
        <sz val="9"/>
        <color rgb="FF000000"/>
        <rFont val="Noto Sans CJK SC"/>
        <family val="2"/>
      </rPr>
      <t xml:space="preserve">趋势</t>
    </r>
  </si>
  <si>
    <t xml:space="preserve">上升</t>
  </si>
  <si>
    <r>
      <rPr>
        <sz val="9"/>
        <color rgb="FF000000"/>
        <rFont val="Noto Sans CJK SC"/>
        <family val="2"/>
      </rPr>
      <t xml:space="preserve">创新高→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；下降→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</si>
  <si>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同上</t>
  </si>
  <si>
    <t xml:space="preserve">存量</t>
  </si>
  <si>
    <t xml:space="preserve">交易所净流入流出</t>
  </si>
  <si>
    <t xml:space="preserve">各币</t>
  </si>
  <si>
    <r>
      <rPr>
        <sz val="9"/>
        <color rgb="FF000000"/>
        <rFont val="Noto Sans CJK SC"/>
        <family val="2"/>
      </rPr>
      <t xml:space="preserve">净流出</t>
    </r>
    <r>
      <rPr>
        <sz val="9"/>
        <color rgb="FF000000"/>
        <rFont val="Microsoft YaHei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提币</t>
    </r>
    <r>
      <rPr>
        <sz val="9"/>
        <color rgb="FF000000"/>
        <rFont val="Microsoft YaHei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</si>
  <si>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大额净流出→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；温和→</t>
    </r>
    <r>
      <rPr>
        <sz val="9"/>
        <color rgb="FF000000"/>
        <rFont val="Microsoft YaHei"/>
        <family val="0"/>
        <charset val="1"/>
      </rPr>
      <t xml:space="preserve">+0.5</t>
    </r>
    <r>
      <rPr>
        <sz val="9"/>
        <color rgb="FF000000"/>
        <rFont val="Noto Sans CJK SC"/>
        <family val="2"/>
      </rPr>
      <t xml:space="preserve">；持平→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；流入→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</si>
  <si>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+1.5~-1.5</t>
  </si>
  <si>
    <r>
      <rPr>
        <sz val="9"/>
        <color rgb="FF000000"/>
        <rFont val="Noto Sans CJK SC"/>
        <family val="2"/>
      </rPr>
      <t xml:space="preserve">自动</t>
    </r>
    <r>
      <rPr>
        <sz val="9"/>
        <color rgb="FF000000"/>
        <rFont val="Microsoft YaHei"/>
        <family val="0"/>
        <charset val="1"/>
      </rPr>
      <t xml:space="preserve">(Pro)</t>
    </r>
  </si>
  <si>
    <t xml:space="preserve">筹码去向</t>
  </si>
  <si>
    <r>
      <rPr>
        <sz val="9"/>
        <color rgb="FF000000"/>
        <rFont val="Noto Sans CJK SC"/>
        <family val="2"/>
      </rPr>
      <t xml:space="preserve">成交量 </t>
    </r>
    <r>
      <rPr>
        <sz val="9"/>
        <color rgb="FF000000"/>
        <rFont val="Microsoft YaHei"/>
        <family val="0"/>
        <charset val="1"/>
      </rPr>
      <t xml:space="preserve">vs 20</t>
    </r>
    <r>
      <rPr>
        <sz val="9"/>
        <color rgb="FF000000"/>
        <rFont val="Noto Sans CJK SC"/>
        <family val="2"/>
      </rPr>
      <t xml:space="preserve">日均量</t>
    </r>
  </si>
  <si>
    <t xml:space="preserve">放量配合方向</t>
  </si>
  <si>
    <r>
      <rPr>
        <sz val="9"/>
        <color rgb="FF000000"/>
        <rFont val="Noto Sans CJK SC"/>
        <family val="2"/>
      </rPr>
      <t xml:space="preserve">放量</t>
    </r>
    <r>
      <rPr>
        <sz val="9"/>
        <color rgb="FF000000"/>
        <rFont val="Microsoft YaHei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涨→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；放量</t>
    </r>
    <r>
      <rPr>
        <sz val="9"/>
        <color rgb="FF000000"/>
        <rFont val="Microsoft YaHei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跌→</t>
    </r>
    <r>
      <rPr>
        <sz val="9"/>
        <color rgb="FF000000"/>
        <rFont val="Microsoft YaHei"/>
        <family val="0"/>
        <charset val="1"/>
      </rPr>
      <t xml:space="preserve">-1</t>
    </r>
    <r>
      <rPr>
        <sz val="9"/>
        <color rgb="FF000000"/>
        <rFont val="Noto Sans CJK SC"/>
        <family val="2"/>
      </rPr>
      <t xml:space="preserve">；缩量→信号</t>
    </r>
    <r>
      <rPr>
        <sz val="9"/>
        <color rgb="FF000000"/>
        <rFont val="Microsoft YaHei"/>
        <family val="0"/>
        <charset val="1"/>
      </rPr>
      <t xml:space="preserve">×0.5</t>
    </r>
  </si>
  <si>
    <t xml:space="preserve">确认因子</t>
  </si>
  <si>
    <t xml:space="preserve">合约资金流</t>
  </si>
  <si>
    <t xml:space="preserve">BTC</t>
  </si>
  <si>
    <r>
      <rPr>
        <sz val="9"/>
        <color rgb="FF000000"/>
        <rFont val="Noto Sans CJK SC"/>
        <family val="2"/>
      </rPr>
      <t xml:space="preserve">期货净流入配合价格→</t>
    </r>
    <r>
      <rPr>
        <sz val="9"/>
        <color rgb="FF000000"/>
        <rFont val="Microsoft YaHei"/>
        <family val="0"/>
        <charset val="1"/>
      </rPr>
      <t xml:space="preserve">+1 … </t>
    </r>
    <r>
      <rPr>
        <sz val="9"/>
        <color rgb="FF000000"/>
        <rFont val="Noto Sans CJK SC"/>
        <family val="2"/>
      </rPr>
      <t xml:space="preserve">净流出→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</si>
  <si>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杠杆资金</t>
  </si>
  <si>
    <t xml:space="preserve">技术面</t>
  </si>
  <si>
    <r>
      <rPr>
        <sz val="9"/>
        <color rgb="FF000000"/>
        <rFont val="Noto Sans CJK SC"/>
        <family val="2"/>
      </rPr>
      <t xml:space="preserve">价格 </t>
    </r>
    <r>
      <rPr>
        <sz val="9"/>
        <color rgb="FF000000"/>
        <rFont val="Microsoft YaHei"/>
        <family val="0"/>
        <charset val="1"/>
      </rPr>
      <t xml:space="preserve">vs MA50</t>
    </r>
  </si>
  <si>
    <r>
      <rPr>
        <sz val="9"/>
        <color rgb="FF000000"/>
        <rFont val="Noto Sans CJK SC"/>
        <family val="2"/>
      </rPr>
      <t xml:space="preserve">在上方→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；跌破→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</si>
  <si>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ccxt</t>
  </si>
  <si>
    <t xml:space="preserve">短期趋势</t>
  </si>
  <si>
    <r>
      <rPr>
        <sz val="9"/>
        <color rgb="FF000000"/>
        <rFont val="Noto Sans CJK SC"/>
        <family val="2"/>
      </rPr>
      <t xml:space="preserve">价格 </t>
    </r>
    <r>
      <rPr>
        <sz val="9"/>
        <color rgb="FF000000"/>
        <rFont val="Microsoft YaHei"/>
        <family val="0"/>
        <charset val="1"/>
      </rPr>
      <t xml:space="preserve">vs MA200</t>
    </r>
  </si>
  <si>
    <r>
      <rPr>
        <sz val="9"/>
        <color rgb="FF000000"/>
        <rFont val="Noto Sans CJK SC"/>
        <family val="2"/>
      </rPr>
      <t xml:space="preserve">在上方→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；跌破→</t>
    </r>
    <r>
      <rPr>
        <sz val="9"/>
        <color rgb="FF000000"/>
        <rFont val="Microsoft YaHei"/>
        <family val="0"/>
        <charset val="1"/>
      </rPr>
      <t xml:space="preserve">-1.5</t>
    </r>
  </si>
  <si>
    <t xml:space="preserve">★中期趋势</t>
  </si>
  <si>
    <r>
      <rPr>
        <sz val="9"/>
        <color rgb="FF000000"/>
        <rFont val="Microsoft YaHei"/>
        <family val="0"/>
        <charset val="1"/>
      </rPr>
      <t xml:space="preserve">MA50 vs MA200 </t>
    </r>
    <r>
      <rPr>
        <sz val="9"/>
        <color rgb="FF000000"/>
        <rFont val="Noto Sans CJK SC"/>
        <family val="2"/>
      </rPr>
      <t xml:space="preserve">排列</t>
    </r>
  </si>
  <si>
    <t xml:space="preserve">金叉</t>
  </si>
  <si>
    <r>
      <rPr>
        <sz val="9"/>
        <color rgb="FF000000"/>
        <rFont val="Noto Sans CJK SC"/>
        <family val="2"/>
      </rPr>
      <t xml:space="preserve">多头排列→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；死叉排列→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</si>
  <si>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均线结构</t>
  </si>
  <si>
    <r>
      <rPr>
        <sz val="9"/>
        <color rgb="FF000000"/>
        <rFont val="Microsoft YaHei"/>
        <family val="0"/>
        <charset val="1"/>
      </rPr>
      <t xml:space="preserve">RSI </t>
    </r>
    <r>
      <rPr>
        <sz val="9"/>
        <color rgb="FF000000"/>
        <rFont val="Noto Sans CJK SC"/>
        <family val="2"/>
      </rPr>
      <t xml:space="preserve">日线</t>
    </r>
  </si>
  <si>
    <t xml:space="preserve">超卖</t>
  </si>
  <si>
    <r>
      <rPr>
        <sz val="9"/>
        <color rgb="FF000000"/>
        <rFont val="Microsoft YaHei"/>
        <family val="0"/>
        <charset val="1"/>
      </rPr>
      <t xml:space="preserve">&lt;30→+1.5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30-45→+0.5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45-55→0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55-70→-0.5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&gt;70→-1.5</t>
    </r>
  </si>
  <si>
    <t xml:space="preserve">强趋势中放宽</t>
  </si>
  <si>
    <t xml:space="preserve">RSI 4H</t>
  </si>
  <si>
    <r>
      <rPr>
        <sz val="9"/>
        <color rgb="FF000000"/>
        <rFont val="Noto Sans CJK SC"/>
        <family val="2"/>
      </rPr>
      <t xml:space="preserve">同</t>
    </r>
    <r>
      <rPr>
        <sz val="9"/>
        <color rgb="FF000000"/>
        <rFont val="Microsoft YaHei"/>
        <family val="0"/>
        <charset val="1"/>
      </rPr>
      <t xml:space="preserve">RSI</t>
    </r>
    <r>
      <rPr>
        <sz val="9"/>
        <color rgb="FF000000"/>
        <rFont val="Noto Sans CJK SC"/>
        <family val="2"/>
      </rPr>
      <t xml:space="preserve">日线，权重减半</t>
    </r>
  </si>
  <si>
    <t xml:space="preserve">短线</t>
  </si>
  <si>
    <r>
      <rPr>
        <sz val="9"/>
        <color rgb="FF000000"/>
        <rFont val="Microsoft YaHei"/>
        <family val="0"/>
        <charset val="1"/>
      </rPr>
      <t xml:space="preserve">MACD </t>
    </r>
    <r>
      <rPr>
        <sz val="9"/>
        <color rgb="FF000000"/>
        <rFont val="Noto Sans CJK SC"/>
        <family val="2"/>
      </rPr>
      <t xml:space="preserve">日线柱</t>
    </r>
  </si>
  <si>
    <r>
      <rPr>
        <sz val="9"/>
        <color rgb="FF000000"/>
        <rFont val="Noto Sans CJK SC"/>
        <family val="2"/>
      </rPr>
      <t xml:space="preserve">柱转正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放大→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；缩→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；转负→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</si>
  <si>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动能</t>
  </si>
  <si>
    <t xml:space="preserve">布林带位置</t>
  </si>
  <si>
    <t xml:space="preserve">触下轨</t>
  </si>
  <si>
    <r>
      <rPr>
        <sz val="9"/>
        <color rgb="FF000000"/>
        <rFont val="Noto Sans CJK SC"/>
        <family val="2"/>
      </rPr>
      <t xml:space="preserve">触下轨→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；中轨→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；触上轨→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</si>
  <si>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趋势中需结合</t>
  </si>
  <si>
    <r>
      <rPr>
        <sz val="9"/>
        <color rgb="FF000000"/>
        <rFont val="Noto Sans CJK SC"/>
        <family val="2"/>
      </rPr>
      <t xml:space="preserve">相对强度 币</t>
    </r>
    <r>
      <rPr>
        <sz val="9"/>
        <color rgb="FF000000"/>
        <rFont val="Microsoft YaHei"/>
        <family val="0"/>
        <charset val="1"/>
      </rPr>
      <t xml:space="preserve">/BTC</t>
    </r>
  </si>
  <si>
    <t xml:space="preserve">山寨</t>
  </si>
  <si>
    <r>
      <rPr>
        <sz val="9"/>
        <color rgb="FF000000"/>
        <rFont val="Noto Sans CJK SC"/>
        <family val="2"/>
      </rPr>
      <t xml:space="preserve">跑赢</t>
    </r>
    <r>
      <rPr>
        <sz val="9"/>
        <color rgb="FF000000"/>
        <rFont val="Microsoft YaHei"/>
        <family val="0"/>
        <charset val="1"/>
      </rPr>
      <t xml:space="preserve">BTC</t>
    </r>
  </si>
  <si>
    <r>
      <rPr>
        <sz val="9"/>
        <color rgb="FF000000"/>
        <rFont val="Noto Sans CJK SC"/>
        <family val="2"/>
      </rPr>
      <t xml:space="preserve">比值上行→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；下行→</t>
    </r>
    <r>
      <rPr>
        <sz val="9"/>
        <color rgb="FF000000"/>
        <rFont val="Microsoft YaHei"/>
        <family val="0"/>
        <charset val="1"/>
      </rPr>
      <t xml:space="preserve">-1</t>
    </r>
  </si>
  <si>
    <r>
      <rPr>
        <b val="true"/>
        <sz val="9"/>
        <color rgb="FFB00020"/>
        <rFont val="Noto Sans CJK SC"/>
        <family val="2"/>
      </rPr>
      <t xml:space="preserve">★选币</t>
    </r>
    <r>
      <rPr>
        <b val="true"/>
        <sz val="9"/>
        <color rgb="FFB00020"/>
        <rFont val="Microsoft YaHei"/>
        <family val="0"/>
        <charset val="1"/>
      </rPr>
      <t xml:space="preserve">(UNI</t>
    </r>
    <r>
      <rPr>
        <b val="true"/>
        <sz val="9"/>
        <color rgb="FFB00020"/>
        <rFont val="Noto Sans CJK SC"/>
        <family val="2"/>
      </rPr>
      <t xml:space="preserve">用币</t>
    </r>
    <r>
      <rPr>
        <b val="true"/>
        <sz val="9"/>
        <color rgb="FFB00020"/>
        <rFont val="Microsoft YaHei"/>
        <family val="0"/>
        <charset val="1"/>
      </rPr>
      <t xml:space="preserve">/ETH)</t>
    </r>
  </si>
  <si>
    <t xml:space="preserve">衍生品情绪</t>
  </si>
  <si>
    <t xml:space="preserve">资金费率</t>
  </si>
  <si>
    <r>
      <rPr>
        <sz val="9"/>
        <color rgb="FF000000"/>
        <rFont val="Noto Sans CJK SC"/>
        <family val="2"/>
      </rPr>
      <t xml:space="preserve">温和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负</t>
    </r>
  </si>
  <si>
    <r>
      <rPr>
        <sz val="9"/>
        <color rgb="FF000000"/>
        <rFont val="Noto Sans CJK SC"/>
        <family val="2"/>
      </rPr>
      <t xml:space="preserve">极正</t>
    </r>
    <r>
      <rPr>
        <sz val="9"/>
        <color rgb="FF000000"/>
        <rFont val="Microsoft YaHei"/>
        <family val="0"/>
        <charset val="1"/>
      </rPr>
      <t xml:space="preserve">&gt;0.05%→-2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0.01-0.05→-0.5</t>
    </r>
    <r>
      <rPr>
        <sz val="9"/>
        <color rgb="FF000000"/>
        <rFont val="Noto Sans CJK SC"/>
        <family val="2"/>
      </rPr>
      <t xml:space="preserve">；中性→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；负→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；极负→</t>
    </r>
    <r>
      <rPr>
        <sz val="9"/>
        <color rgb="FF000000"/>
        <rFont val="Microsoft YaHei"/>
        <family val="0"/>
        <charset val="1"/>
      </rPr>
      <t xml:space="preserve">+2</t>
    </r>
  </si>
  <si>
    <t xml:space="preserve">Binance</t>
  </si>
  <si>
    <t xml:space="preserve">8H</t>
  </si>
  <si>
    <r>
      <rPr>
        <b val="true"/>
        <sz val="9"/>
        <color rgb="FFB00020"/>
        <rFont val="Noto Sans CJK SC"/>
        <family val="2"/>
      </rPr>
      <t xml:space="preserve">★反指</t>
    </r>
    <r>
      <rPr>
        <b val="true"/>
        <sz val="9"/>
        <color rgb="FFB00020"/>
        <rFont val="Microsoft YaHei"/>
        <family val="0"/>
        <charset val="1"/>
      </rPr>
      <t xml:space="preserve">·</t>
    </r>
    <r>
      <rPr>
        <b val="true"/>
        <sz val="9"/>
        <color rgb="FFB00020"/>
        <rFont val="Noto Sans CJK SC"/>
        <family val="2"/>
      </rPr>
      <t xml:space="preserve">过热</t>
    </r>
  </si>
  <si>
    <r>
      <rPr>
        <sz val="9"/>
        <color rgb="FF000000"/>
        <rFont val="Noto Sans CJK SC"/>
        <family val="2"/>
      </rPr>
      <t xml:space="preserve">未平仓 </t>
    </r>
    <r>
      <rPr>
        <sz val="9"/>
        <color rgb="FF000000"/>
        <rFont val="Microsoft YaHei"/>
        <family val="0"/>
        <charset val="1"/>
      </rPr>
      <t xml:space="preserve">OI</t>
    </r>
  </si>
  <si>
    <t xml:space="preserve">健康增长</t>
  </si>
  <si>
    <r>
      <rPr>
        <sz val="9"/>
        <color rgb="FF000000"/>
        <rFont val="Microsoft YaHei"/>
        <family val="0"/>
        <charset val="1"/>
      </rPr>
      <t xml:space="preserve">OI</t>
    </r>
    <r>
      <rPr>
        <sz val="9"/>
        <color rgb="FF000000"/>
        <rFont val="Noto Sans CJK SC"/>
        <family val="2"/>
      </rPr>
      <t xml:space="preserve">激增</t>
    </r>
    <r>
      <rPr>
        <sz val="9"/>
        <color rgb="FF000000"/>
        <rFont val="Microsoft YaHei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价涨→</t>
    </r>
    <r>
      <rPr>
        <sz val="9"/>
        <color rgb="FF000000"/>
        <rFont val="Microsoft YaHei"/>
        <family val="0"/>
        <charset val="1"/>
      </rPr>
      <t xml:space="preserve">-0.5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OI</t>
    </r>
    <r>
      <rPr>
        <sz val="9"/>
        <color rgb="FF000000"/>
        <rFont val="Noto Sans CJK SC"/>
        <family val="2"/>
      </rPr>
      <t xml:space="preserve">增</t>
    </r>
    <r>
      <rPr>
        <sz val="9"/>
        <color rgb="FF000000"/>
        <rFont val="Microsoft YaHei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价跌→</t>
    </r>
    <r>
      <rPr>
        <sz val="9"/>
        <color rgb="FF000000"/>
        <rFont val="Microsoft YaHei"/>
        <family val="0"/>
        <charset val="1"/>
      </rPr>
      <t xml:space="preserve">+0.5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OI</t>
    </r>
    <r>
      <rPr>
        <sz val="9"/>
        <color rgb="FF000000"/>
        <rFont val="Noto Sans CJK SC"/>
        <family val="2"/>
      </rPr>
      <t xml:space="preserve">降→</t>
    </r>
    <r>
      <rPr>
        <sz val="9"/>
        <color rgb="FF000000"/>
        <rFont val="Microsoft YaHei"/>
        <family val="0"/>
        <charset val="1"/>
      </rPr>
      <t xml:space="preserve">0</t>
    </r>
  </si>
  <si>
    <t xml:space="preserve">±0.5</t>
  </si>
  <si>
    <t xml:space="preserve">Binance/Coinglass</t>
  </si>
  <si>
    <t xml:space="preserve">需结合价格</t>
  </si>
  <si>
    <t xml:space="preserve">大户多空比</t>
  </si>
  <si>
    <t xml:space="preserve">极端反指</t>
  </si>
  <si>
    <r>
      <rPr>
        <sz val="9"/>
        <color rgb="FF000000"/>
        <rFont val="Noto Sans CJK SC"/>
        <family val="2"/>
      </rPr>
      <t xml:space="preserve">极度看多→</t>
    </r>
    <r>
      <rPr>
        <sz val="9"/>
        <color rgb="FF000000"/>
        <rFont val="Microsoft YaHei"/>
        <family val="0"/>
        <charset val="1"/>
      </rPr>
      <t xml:space="preserve">-1</t>
    </r>
    <r>
      <rPr>
        <sz val="9"/>
        <color rgb="FF000000"/>
        <rFont val="Noto Sans CJK SC"/>
        <family val="2"/>
      </rPr>
      <t xml:space="preserve">；中性→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；极度看空→</t>
    </r>
    <r>
      <rPr>
        <sz val="9"/>
        <color rgb="FF000000"/>
        <rFont val="Microsoft YaHei"/>
        <family val="0"/>
        <charset val="1"/>
      </rPr>
      <t xml:space="preserve">+1</t>
    </r>
  </si>
  <si>
    <t xml:space="preserve">极端才有效</t>
  </si>
  <si>
    <r>
      <rPr>
        <sz val="9"/>
        <color rgb="FF000000"/>
        <rFont val="Microsoft YaHei"/>
        <family val="0"/>
        <charset val="1"/>
      </rPr>
      <t xml:space="preserve">24H </t>
    </r>
    <r>
      <rPr>
        <sz val="9"/>
        <color rgb="FF000000"/>
        <rFont val="Noto Sans CJK SC"/>
        <family val="2"/>
      </rPr>
      <t xml:space="preserve">清算</t>
    </r>
  </si>
  <si>
    <t xml:space="preserve">多头被清后</t>
  </si>
  <si>
    <r>
      <rPr>
        <sz val="9"/>
        <color rgb="FF000000"/>
        <rFont val="Noto Sans CJK SC"/>
        <family val="2"/>
      </rPr>
      <t xml:space="preserve">大额多头清算→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；空头清算→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</si>
  <si>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Coinglass</t>
  </si>
  <si>
    <t xml:space="preserve">择时</t>
  </si>
  <si>
    <r>
      <rPr>
        <sz val="9"/>
        <color rgb="FF000000"/>
        <rFont val="Noto Sans CJK SC"/>
        <family val="2"/>
      </rPr>
      <t xml:space="preserve">波动率指数 </t>
    </r>
    <r>
      <rPr>
        <sz val="9"/>
        <color rgb="FF000000"/>
        <rFont val="Microsoft YaHei"/>
        <family val="0"/>
        <charset val="1"/>
      </rPr>
      <t xml:space="preserve">DVOL</t>
    </r>
  </si>
  <si>
    <t xml:space="preserve">BTC/ETH</t>
  </si>
  <si>
    <r>
      <rPr>
        <sz val="9"/>
        <color rgb="FF000000"/>
        <rFont val="Noto Sans CJK SC"/>
        <family val="2"/>
      </rPr>
      <t xml:space="preserve">极高</t>
    </r>
    <r>
      <rPr>
        <sz val="9"/>
        <color rgb="FF000000"/>
        <rFont val="Microsoft YaHei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恐慌</t>
    </r>
    <r>
      <rPr>
        <sz val="9"/>
        <color rgb="FF000000"/>
        <rFont val="Microsoft YaHei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</si>
  <si>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极高→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；极低→</t>
    </r>
    <r>
      <rPr>
        <sz val="9"/>
        <color rgb="FF000000"/>
        <rFont val="Microsoft YaHei"/>
        <family val="0"/>
        <charset val="1"/>
      </rPr>
      <t xml:space="preserve">-0.5</t>
    </r>
  </si>
  <si>
    <t xml:space="preserve">+1~-0.5</t>
  </si>
  <si>
    <t xml:space="preserve">Deribit</t>
  </si>
  <si>
    <r>
      <rPr>
        <sz val="9"/>
        <color rgb="FF000000"/>
        <rFont val="Microsoft YaHei"/>
        <family val="0"/>
        <charset val="1"/>
      </rPr>
      <t xml:space="preserve">Coinbase </t>
    </r>
    <r>
      <rPr>
        <sz val="9"/>
        <color rgb="FF000000"/>
        <rFont val="Noto Sans CJK SC"/>
        <family val="2"/>
      </rPr>
      <t xml:space="preserve">溢价</t>
    </r>
  </si>
  <si>
    <t xml:space="preserve">正溢价</t>
  </si>
  <si>
    <r>
      <rPr>
        <sz val="9"/>
        <color rgb="FF000000"/>
        <rFont val="Noto Sans CJK SC"/>
        <family val="2"/>
      </rPr>
      <t xml:space="preserve">正→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icrosoft YaHei"/>
        <family val="0"/>
        <charset val="1"/>
      </rPr>
      <t xml:space="preserve">0→0</t>
    </r>
    <r>
      <rPr>
        <sz val="9"/>
        <color rgb="FF000000"/>
        <rFont val="Noto Sans CJK SC"/>
        <family val="2"/>
      </rPr>
      <t xml:space="preserve">；负→</t>
    </r>
    <r>
      <rPr>
        <sz val="9"/>
        <color rgb="FF000000"/>
        <rFont val="Microsoft YaHei"/>
        <family val="0"/>
        <charset val="1"/>
      </rPr>
      <t xml:space="preserve">-1</t>
    </r>
  </si>
  <si>
    <r>
      <rPr>
        <sz val="9"/>
        <color rgb="FF000000"/>
        <rFont val="Noto Sans CJK SC"/>
        <family val="2"/>
      </rPr>
      <t xml:space="preserve">计算</t>
    </r>
    <r>
      <rPr>
        <sz val="9"/>
        <color rgb="FF000000"/>
        <rFont val="Microsoft YaHei"/>
        <family val="0"/>
        <charset val="1"/>
      </rPr>
      <t xml:space="preserve">(CB/Binance)</t>
    </r>
  </si>
  <si>
    <t xml:space="preserve">美国机构</t>
  </si>
  <si>
    <r>
      <rPr>
        <sz val="9"/>
        <color rgb="FF000000"/>
        <rFont val="Microsoft YaHei"/>
        <family val="0"/>
        <charset val="1"/>
      </rPr>
      <t xml:space="preserve">Hyperliquid </t>
    </r>
    <r>
      <rPr>
        <sz val="9"/>
        <color rgb="FF000000"/>
        <rFont val="Noto Sans CJK SC"/>
        <family val="2"/>
      </rPr>
      <t xml:space="preserve">钱包多空</t>
    </r>
  </si>
  <si>
    <t xml:space="preserve">顺聪明钱</t>
  </si>
  <si>
    <r>
      <rPr>
        <sz val="9"/>
        <color rgb="FF000000"/>
        <rFont val="Noto Sans CJK SC"/>
        <family val="2"/>
      </rPr>
      <t xml:space="preserve">净多→</t>
    </r>
    <r>
      <rPr>
        <sz val="9"/>
        <color rgb="FF000000"/>
        <rFont val="Microsoft YaHei"/>
        <family val="0"/>
        <charset val="1"/>
      </rPr>
      <t xml:space="preserve">+0.5</t>
    </r>
    <r>
      <rPr>
        <sz val="9"/>
        <color rgb="FF000000"/>
        <rFont val="Noto Sans CJK SC"/>
        <family val="2"/>
      </rPr>
      <t xml:space="preserve">；净空→</t>
    </r>
    <r>
      <rPr>
        <sz val="9"/>
        <color rgb="FF000000"/>
        <rFont val="Microsoft YaHei"/>
        <family val="0"/>
        <charset val="1"/>
      </rPr>
      <t xml:space="preserve">-0.5</t>
    </r>
  </si>
  <si>
    <t xml:space="preserve">HL API</t>
  </si>
  <si>
    <t xml:space="preserve">定位参考</t>
  </si>
  <si>
    <r>
      <rPr>
        <b val="true"/>
        <sz val="9"/>
        <color rgb="FFFFFFFF"/>
        <rFont val="Noto Sans CJK SC"/>
        <family val="2"/>
      </rPr>
      <t xml:space="preserve">链上</t>
    </r>
    <r>
      <rPr>
        <b val="true"/>
        <sz val="9"/>
        <color rgb="FFFFFFFF"/>
        <rFont val="Microsoft YaHei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基本面</t>
    </r>
  </si>
  <si>
    <r>
      <rPr>
        <sz val="9"/>
        <color rgb="FF000000"/>
        <rFont val="Microsoft YaHei"/>
        <family val="0"/>
        <charset val="1"/>
      </rPr>
      <t xml:space="preserve">ETH </t>
    </r>
    <r>
      <rPr>
        <sz val="9"/>
        <color rgb="FF000000"/>
        <rFont val="Noto Sans CJK SC"/>
        <family val="2"/>
      </rPr>
      <t xml:space="preserve">质押率</t>
    </r>
  </si>
  <si>
    <t xml:space="preserve">ETH</t>
  </si>
  <si>
    <r>
      <rPr>
        <sz val="9"/>
        <color rgb="FF000000"/>
        <rFont val="Noto Sans CJK SC"/>
        <family val="2"/>
      </rPr>
      <t xml:space="preserve">上升→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；下降→</t>
    </r>
    <r>
      <rPr>
        <sz val="9"/>
        <color rgb="FF000000"/>
        <rFont val="Microsoft YaHei"/>
        <family val="0"/>
        <charset val="1"/>
      </rPr>
      <t xml:space="preserve">-0.5</t>
    </r>
  </si>
  <si>
    <t xml:space="preserve">beaconcha.in</t>
  </si>
  <si>
    <t xml:space="preserve">锁仓</t>
  </si>
  <si>
    <r>
      <rPr>
        <sz val="9"/>
        <color rgb="FF000000"/>
        <rFont val="Microsoft YaHei"/>
        <family val="0"/>
        <charset val="1"/>
      </rPr>
      <t xml:space="preserve">EIP-1559 </t>
    </r>
    <r>
      <rPr>
        <sz val="9"/>
        <color rgb="FF000000"/>
        <rFont val="Noto Sans CJK SC"/>
        <family val="2"/>
      </rPr>
      <t xml:space="preserve">销毁量</t>
    </r>
  </si>
  <si>
    <t xml:space="preserve">净通缩</t>
  </si>
  <si>
    <r>
      <rPr>
        <sz val="9"/>
        <color rgb="FF000000"/>
        <rFont val="Noto Sans CJK SC"/>
        <family val="2"/>
      </rPr>
      <t xml:space="preserve">净通缩→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；中性→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；通胀→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</si>
  <si>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ultrasound.money</t>
  </si>
  <si>
    <t xml:space="preserve">通缩机制</t>
  </si>
  <si>
    <t xml:space="preserve">ETH DeFi TVL</t>
  </si>
  <si>
    <r>
      <rPr>
        <sz val="9"/>
        <color rgb="FF000000"/>
        <rFont val="Noto Sans CJK SC"/>
        <family val="2"/>
      </rPr>
      <t xml:space="preserve">上升→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；走平→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；下降→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</si>
  <si>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生态</t>
  </si>
  <si>
    <r>
      <rPr>
        <sz val="9"/>
        <color rgb="FF000000"/>
        <rFont val="Microsoft YaHei"/>
        <family val="0"/>
        <charset val="1"/>
      </rPr>
      <t xml:space="preserve">L2 </t>
    </r>
    <r>
      <rPr>
        <sz val="9"/>
        <color rgb="FF000000"/>
        <rFont val="Noto Sans CJK SC"/>
        <family val="2"/>
      </rPr>
      <t xml:space="preserve">总</t>
    </r>
    <r>
      <rPr>
        <sz val="9"/>
        <color rgb="FF000000"/>
        <rFont val="Microsoft YaHei"/>
        <family val="0"/>
        <charset val="1"/>
      </rPr>
      <t xml:space="preserve">TVL</t>
    </r>
  </si>
  <si>
    <r>
      <rPr>
        <sz val="9"/>
        <color rgb="FF000000"/>
        <rFont val="Noto Sans CJK SC"/>
        <family val="2"/>
      </rPr>
      <t xml:space="preserve">上升→</t>
    </r>
    <r>
      <rPr>
        <sz val="9"/>
        <color rgb="FF000000"/>
        <rFont val="Microsoft YaHei"/>
        <family val="0"/>
        <charset val="1"/>
      </rPr>
      <t xml:space="preserve">+0.5</t>
    </r>
    <r>
      <rPr>
        <sz val="9"/>
        <color rgb="FF000000"/>
        <rFont val="Noto Sans CJK SC"/>
        <family val="2"/>
      </rPr>
      <t xml:space="preserve">；下降→</t>
    </r>
    <r>
      <rPr>
        <sz val="9"/>
        <color rgb="FF000000"/>
        <rFont val="Microsoft YaHei"/>
        <family val="0"/>
        <charset val="1"/>
      </rPr>
      <t xml:space="preserve">-0.5</t>
    </r>
  </si>
  <si>
    <t xml:space="preserve">L2Beat</t>
  </si>
  <si>
    <t xml:space="preserve">扩容生态</t>
  </si>
  <si>
    <r>
      <rPr>
        <sz val="9"/>
        <color rgb="FF000000"/>
        <rFont val="Microsoft YaHei"/>
        <family val="0"/>
        <charset val="1"/>
      </rPr>
      <t xml:space="preserve">GitHub </t>
    </r>
    <r>
      <rPr>
        <sz val="9"/>
        <color rgb="FF000000"/>
        <rFont val="Noto Sans CJK SC"/>
        <family val="2"/>
      </rPr>
      <t xml:space="preserve">周提交</t>
    </r>
  </si>
  <si>
    <t xml:space="preserve">活跃</t>
  </si>
  <si>
    <t xml:space="preserve">CryptoMiso</t>
  </si>
  <si>
    <t xml:space="preserve">开发活跃</t>
  </si>
  <si>
    <t xml:space="preserve">SOL DeFi TVL</t>
  </si>
  <si>
    <t xml:space="preserve">SOL</t>
  </si>
  <si>
    <r>
      <rPr>
        <sz val="9"/>
        <color rgb="FF000000"/>
        <rFont val="Microsoft YaHei"/>
        <family val="0"/>
        <charset val="1"/>
      </rPr>
      <t xml:space="preserve">SOL DEX </t>
    </r>
    <r>
      <rPr>
        <sz val="9"/>
        <color rgb="FF000000"/>
        <rFont val="Noto Sans CJK SC"/>
        <family val="2"/>
      </rPr>
      <t xml:space="preserve">日交易量</t>
    </r>
  </si>
  <si>
    <r>
      <rPr>
        <sz val="9"/>
        <color rgb="FF000000"/>
        <rFont val="Noto Sans CJK SC"/>
        <family val="2"/>
      </rPr>
      <t xml:space="preserve">上升→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；下降→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</si>
  <si>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链活跃</t>
  </si>
  <si>
    <r>
      <rPr>
        <sz val="9"/>
        <color rgb="FF000000"/>
        <rFont val="Microsoft YaHei"/>
        <family val="0"/>
        <charset val="1"/>
      </rPr>
      <t xml:space="preserve">SOL </t>
    </r>
    <r>
      <rPr>
        <sz val="9"/>
        <color rgb="FF000000"/>
        <rFont val="Noto Sans CJK SC"/>
        <family val="2"/>
      </rPr>
      <t xml:space="preserve">日活地址</t>
    </r>
  </si>
  <si>
    <t xml:space="preserve">Solscan</t>
  </si>
  <si>
    <t xml:space="preserve">网络健康</t>
  </si>
  <si>
    <r>
      <rPr>
        <sz val="9"/>
        <color rgb="FF000000"/>
        <rFont val="Microsoft YaHei"/>
        <family val="0"/>
        <charset val="1"/>
      </rPr>
      <t xml:space="preserve">SOL </t>
    </r>
    <r>
      <rPr>
        <sz val="9"/>
        <color rgb="FF000000"/>
        <rFont val="Noto Sans CJK SC"/>
        <family val="2"/>
      </rPr>
      <t xml:space="preserve">质押率</t>
    </r>
  </si>
  <si>
    <t xml:space="preserve">稳定高位</t>
  </si>
  <si>
    <r>
      <rPr>
        <sz val="9"/>
        <color rgb="FF000000"/>
        <rFont val="Microsoft YaHei"/>
        <family val="0"/>
        <charset val="1"/>
      </rPr>
      <t xml:space="preserve">UNI </t>
    </r>
    <r>
      <rPr>
        <sz val="9"/>
        <color rgb="FF000000"/>
        <rFont val="Noto Sans CJK SC"/>
        <family val="2"/>
      </rPr>
      <t xml:space="preserve">协议日交易量</t>
    </r>
  </si>
  <si>
    <t xml:space="preserve">UNI</t>
  </si>
  <si>
    <t xml:space="preserve">核心业务</t>
  </si>
  <si>
    <r>
      <rPr>
        <sz val="9"/>
        <color rgb="FF000000"/>
        <rFont val="Microsoft YaHei"/>
        <family val="0"/>
        <charset val="1"/>
      </rPr>
      <t xml:space="preserve">UNI </t>
    </r>
    <r>
      <rPr>
        <sz val="9"/>
        <color rgb="FF000000"/>
        <rFont val="Noto Sans CJK SC"/>
        <family val="2"/>
      </rPr>
      <t xml:space="preserve">费用收入</t>
    </r>
  </si>
  <si>
    <t xml:space="preserve">现金流</t>
  </si>
  <si>
    <r>
      <rPr>
        <sz val="9"/>
        <color rgb="FF000000"/>
        <rFont val="Microsoft YaHei"/>
        <family val="0"/>
        <charset val="1"/>
      </rPr>
      <t xml:space="preserve">UNI </t>
    </r>
    <r>
      <rPr>
        <sz val="9"/>
        <color rgb="FF000000"/>
        <rFont val="Noto Sans CJK SC"/>
        <family val="2"/>
      </rPr>
      <t xml:space="preserve">费用开关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回购</t>
    </r>
  </si>
  <si>
    <t xml:space="preserve">推进</t>
  </si>
  <si>
    <r>
      <rPr>
        <sz val="9"/>
        <color rgb="FF000000"/>
        <rFont val="Noto Sans CJK SC"/>
        <family val="2"/>
      </rPr>
      <t xml:space="preserve">覆盖链增加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回购启动→</t>
    </r>
    <r>
      <rPr>
        <sz val="9"/>
        <color rgb="FF000000"/>
        <rFont val="Microsoft YaHei"/>
        <family val="0"/>
        <charset val="1"/>
      </rPr>
      <t xml:space="preserve">+1.5</t>
    </r>
    <r>
      <rPr>
        <sz val="9"/>
        <color rgb="FF000000"/>
        <rFont val="Noto Sans CJK SC"/>
        <family val="2"/>
      </rPr>
      <t xml:space="preserve">；停滞→</t>
    </r>
    <r>
      <rPr>
        <sz val="9"/>
        <color rgb="FF000000"/>
        <rFont val="Microsoft YaHei"/>
        <family val="0"/>
        <charset val="1"/>
      </rPr>
      <t xml:space="preserve">0</t>
    </r>
  </si>
  <si>
    <t xml:space="preserve">+1.5~0</t>
  </si>
  <si>
    <t xml:space="preserve">治理论坛</t>
  </si>
  <si>
    <t xml:space="preserve">事件</t>
  </si>
  <si>
    <t xml:space="preserve">★催化剂</t>
  </si>
  <si>
    <r>
      <rPr>
        <sz val="9"/>
        <color rgb="FF000000"/>
        <rFont val="Microsoft YaHei"/>
        <family val="0"/>
        <charset val="1"/>
      </rPr>
      <t xml:space="preserve">UNI </t>
    </r>
    <r>
      <rPr>
        <sz val="9"/>
        <color rgb="FF000000"/>
        <rFont val="Noto Sans CJK SC"/>
        <family val="2"/>
      </rPr>
      <t xml:space="preserve">治理</t>
    </r>
    <r>
      <rPr>
        <sz val="9"/>
        <color rgb="FF000000"/>
        <rFont val="Microsoft YaHei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机构进展</t>
    </r>
  </si>
  <si>
    <t xml:space="preserve">利好</t>
  </si>
  <si>
    <r>
      <rPr>
        <sz val="9"/>
        <color rgb="FF000000"/>
        <rFont val="Noto Sans CJK SC"/>
        <family val="2"/>
      </rPr>
      <t xml:space="preserve">重大利好→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；无→</t>
    </r>
    <r>
      <rPr>
        <sz val="9"/>
        <color rgb="FF000000"/>
        <rFont val="Microsoft YaHei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；利空→</t>
    </r>
    <r>
      <rPr>
        <sz val="9"/>
        <color rgb="FF000000"/>
        <rFont val="Microsoft YaHei"/>
        <family val="0"/>
        <charset val="1"/>
      </rPr>
      <t xml:space="preserve">-1</t>
    </r>
  </si>
  <si>
    <r>
      <rPr>
        <sz val="9"/>
        <color rgb="FF000000"/>
        <rFont val="Noto Sans CJK SC"/>
        <family val="2"/>
      </rPr>
      <t xml:space="preserve">官博</t>
    </r>
    <r>
      <rPr>
        <sz val="9"/>
        <color rgb="FF000000"/>
        <rFont val="Microsoft YaHei"/>
        <family val="0"/>
        <charset val="1"/>
      </rPr>
      <t xml:space="preserve">/Tally</t>
    </r>
  </si>
  <si>
    <t xml:space="preserve">定性</t>
  </si>
  <si>
    <r>
      <rPr>
        <sz val="9"/>
        <color rgb="FF000000"/>
        <rFont val="Microsoft YaHei"/>
        <family val="0"/>
        <charset val="1"/>
      </rPr>
      <t xml:space="preserve">LINK CCIP/</t>
    </r>
    <r>
      <rPr>
        <sz val="9"/>
        <color rgb="FF000000"/>
        <rFont val="Noto Sans CJK SC"/>
        <family val="2"/>
      </rPr>
      <t xml:space="preserve">采用</t>
    </r>
  </si>
  <si>
    <t xml:space="preserve">LINK</t>
  </si>
  <si>
    <t xml:space="preserve">采用扩大</t>
  </si>
  <si>
    <r>
      <rPr>
        <sz val="9"/>
        <color rgb="FF000000"/>
        <rFont val="Noto Sans CJK SC"/>
        <family val="2"/>
      </rPr>
      <t xml:space="preserve">新合作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采用→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；停滞→</t>
    </r>
    <r>
      <rPr>
        <sz val="9"/>
        <color rgb="FF000000"/>
        <rFont val="Microsoft YaHei"/>
        <family val="0"/>
        <charset val="1"/>
      </rPr>
      <t xml:space="preserve">0</t>
    </r>
  </si>
  <si>
    <t xml:space="preserve">+1~0</t>
  </si>
  <si>
    <r>
      <rPr>
        <sz val="9"/>
        <color rgb="FF000000"/>
        <rFont val="Noto Sans CJK SC"/>
        <family val="2"/>
      </rPr>
      <t xml:space="preserve">官方</t>
    </r>
    <r>
      <rPr>
        <sz val="9"/>
        <color rgb="FF000000"/>
        <rFont val="Microsoft YaHei"/>
        <family val="0"/>
        <charset val="1"/>
      </rPr>
      <t xml:space="preserve">/DefiLlama</t>
    </r>
  </si>
  <si>
    <r>
      <rPr>
        <sz val="9"/>
        <color rgb="FF000000"/>
        <rFont val="Microsoft YaHei"/>
        <family val="0"/>
        <charset val="1"/>
      </rPr>
      <t xml:space="preserve">oracle</t>
    </r>
    <r>
      <rPr>
        <sz val="9"/>
        <color rgb="FF000000"/>
        <rFont val="Noto Sans CJK SC"/>
        <family val="2"/>
      </rPr>
      <t xml:space="preserve">采用</t>
    </r>
  </si>
  <si>
    <r>
      <rPr>
        <sz val="9"/>
        <color rgb="FF000000"/>
        <rFont val="Microsoft YaHei"/>
        <family val="0"/>
        <charset val="1"/>
      </rPr>
      <t xml:space="preserve">LINK </t>
    </r>
    <r>
      <rPr>
        <sz val="9"/>
        <color rgb="FF000000"/>
        <rFont val="Noto Sans CJK SC"/>
        <family val="2"/>
      </rPr>
      <t xml:space="preserve">质押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锁仓</t>
    </r>
  </si>
  <si>
    <t xml:space="preserve">官方</t>
  </si>
  <si>
    <t xml:space="preserve">供给</t>
  </si>
  <si>
    <t xml:space="preserve">LINK Secured TVS</t>
  </si>
  <si>
    <t xml:space="preserve">保护价值</t>
  </si>
  <si>
    <r>
      <rPr>
        <sz val="9"/>
        <color rgb="FF000000"/>
        <rFont val="Microsoft YaHei"/>
        <family val="0"/>
        <charset val="1"/>
      </rPr>
      <t xml:space="preserve">LTC </t>
    </r>
    <r>
      <rPr>
        <sz val="9"/>
        <color rgb="FF000000"/>
        <rFont val="Noto Sans CJK SC"/>
        <family val="2"/>
      </rPr>
      <t xml:space="preserve">全网算力</t>
    </r>
  </si>
  <si>
    <t xml:space="preserve">LTC</t>
  </si>
  <si>
    <r>
      <rPr>
        <sz val="9"/>
        <color rgb="FF000000"/>
        <rFont val="Noto Sans CJK SC"/>
        <family val="2"/>
      </rPr>
      <t xml:space="preserve">稳定</t>
    </r>
    <r>
      <rPr>
        <sz val="9"/>
        <color rgb="FF000000"/>
        <rFont val="Microsoft YaHe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上升</t>
    </r>
  </si>
  <si>
    <r>
      <rPr>
        <sz val="9"/>
        <color rgb="FF000000"/>
        <rFont val="Noto Sans CJK SC"/>
        <family val="2"/>
      </rPr>
      <t xml:space="preserve">上升→</t>
    </r>
    <r>
      <rPr>
        <sz val="9"/>
        <color rgb="FF000000"/>
        <rFont val="Microsoft YaHei"/>
        <family val="0"/>
        <charset val="1"/>
      </rPr>
      <t xml:space="preserve">+0.5</t>
    </r>
    <r>
      <rPr>
        <sz val="9"/>
        <color rgb="FF000000"/>
        <rFont val="Noto Sans CJK SC"/>
        <family val="2"/>
      </rPr>
      <t xml:space="preserve">；骤降→</t>
    </r>
    <r>
      <rPr>
        <sz val="9"/>
        <color rgb="FF000000"/>
        <rFont val="Microsoft YaHei"/>
        <family val="0"/>
        <charset val="1"/>
      </rPr>
      <t xml:space="preserve">-1</t>
    </r>
  </si>
  <si>
    <t xml:space="preserve">+0.5~-1</t>
  </si>
  <si>
    <t xml:space="preserve">区块浏览器</t>
  </si>
  <si>
    <t xml:space="preserve">矿工信心</t>
  </si>
  <si>
    <r>
      <rPr>
        <sz val="9"/>
        <color rgb="FF000000"/>
        <rFont val="Microsoft YaHei"/>
        <family val="0"/>
        <charset val="1"/>
      </rPr>
      <t xml:space="preserve">LTC </t>
    </r>
    <r>
      <rPr>
        <sz val="9"/>
        <color rgb="FF000000"/>
        <rFont val="Noto Sans CJK SC"/>
        <family val="2"/>
      </rPr>
      <t xml:space="preserve">活跃地址</t>
    </r>
  </si>
  <si>
    <t xml:space="preserve">使用度</t>
  </si>
  <si>
    <r>
      <rPr>
        <sz val="9"/>
        <color rgb="FF000000"/>
        <rFont val="Microsoft YaHei"/>
        <family val="0"/>
        <charset val="1"/>
      </rPr>
      <t xml:space="preserve">LTC </t>
    </r>
    <r>
      <rPr>
        <sz val="9"/>
        <color rgb="FF000000"/>
        <rFont val="Noto Sans CJK SC"/>
        <family val="2"/>
      </rPr>
      <t xml:space="preserve">减半周期位置</t>
    </r>
  </si>
  <si>
    <t xml:space="preserve">减半前</t>
  </si>
  <si>
    <r>
      <rPr>
        <sz val="9"/>
        <color rgb="FF000000"/>
        <rFont val="Noto Sans CJK SC"/>
        <family val="2"/>
      </rPr>
      <t xml:space="preserve">减半临近→</t>
    </r>
    <r>
      <rPr>
        <sz val="9"/>
        <color rgb="FF000000"/>
        <rFont val="Microsoft YaHei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；减半后衰减→</t>
    </r>
    <r>
      <rPr>
        <sz val="9"/>
        <color rgb="FF000000"/>
        <rFont val="Microsoft YaHei"/>
        <family val="0"/>
        <charset val="1"/>
      </rPr>
      <t xml:space="preserve">-0.5</t>
    </r>
  </si>
  <si>
    <t xml:space="preserve">计算</t>
  </si>
  <si>
    <t xml:space="preserve">背景</t>
  </si>
  <si>
    <t xml:space="preserve">周期</t>
  </si>
  <si>
    <r>
      <rPr>
        <b val="true"/>
        <sz val="14"/>
        <color rgb="FFFFFFFF"/>
        <rFont val="Microsoft YaHei"/>
        <family val="0"/>
        <charset val="1"/>
      </rPr>
      <t xml:space="preserve">ETH · </t>
    </r>
    <r>
      <rPr>
        <b val="true"/>
        <sz val="14"/>
        <color rgb="FFFFFFFF"/>
        <rFont val="Noto Sans CJK SC"/>
        <family val="2"/>
      </rPr>
      <t xml:space="preserve">合成分算例（可运行 </t>
    </r>
    <r>
      <rPr>
        <b val="true"/>
        <sz val="14"/>
        <color rgb="FFFFFFFF"/>
        <rFont val="Microsoft YaHei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黄色格填因子分）</t>
    </r>
  </si>
  <si>
    <r>
      <rPr>
        <sz val="9"/>
        <color rgb="FF6B7280"/>
        <rFont val="Noto Sans CJK SC"/>
        <family val="2"/>
      </rPr>
      <t xml:space="preserve">填法：在「因子分」列填 </t>
    </r>
    <r>
      <rPr>
        <sz val="9"/>
        <color rgb="FF6B7280"/>
        <rFont val="Microsoft YaHei"/>
        <family val="0"/>
        <charset val="1"/>
      </rPr>
      <t xml:space="preserve">-2~+2</t>
    </r>
    <r>
      <rPr>
        <sz val="9"/>
        <color rgb="FF6B7280"/>
        <rFont val="Noto Sans CJK SC"/>
        <family val="2"/>
      </rPr>
      <t xml:space="preserve">（依据规则表）。加权分、维度分、</t>
    </r>
    <r>
      <rPr>
        <sz val="9"/>
        <color rgb="FF6B7280"/>
        <rFont val="Microsoft YaHei"/>
        <family val="0"/>
        <charset val="1"/>
      </rPr>
      <t xml:space="preserve">regime</t>
    </r>
    <r>
      <rPr>
        <sz val="9"/>
        <color rgb="FF6B7280"/>
        <rFont val="Noto Sans CJK SC"/>
        <family val="2"/>
      </rPr>
      <t xml:space="preserve">、合成分、动作全部公式自动算。黄色</t>
    </r>
    <r>
      <rPr>
        <sz val="9"/>
        <color rgb="FF6B7280"/>
        <rFont val="Microsoft YaHei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手动填。</t>
    </r>
  </si>
  <si>
    <t xml:space="preserve">因子</t>
  </si>
  <si>
    <r>
      <rPr>
        <b val="true"/>
        <sz val="9"/>
        <color rgb="FFFFFFFF"/>
        <rFont val="Noto Sans CJK SC"/>
        <family val="2"/>
      </rPr>
      <t xml:space="preserve">因子分</t>
    </r>
    <r>
      <rPr>
        <b val="true"/>
        <sz val="9"/>
        <color rgb="FFFFFFFF"/>
        <rFont val="Microsoft YaHei"/>
        <family val="0"/>
        <charset val="1"/>
      </rPr>
      <t xml:space="preserve">(-2~+2)</t>
    </r>
  </si>
  <si>
    <t xml:space="preserve">加权分</t>
  </si>
  <si>
    <t xml:space="preserve">说明</t>
  </si>
  <si>
    <t xml:space="preserve">MA50 vs MA200</t>
  </si>
  <si>
    <t xml:space="preserve">多头排列</t>
  </si>
  <si>
    <r>
      <rPr>
        <sz val="9"/>
        <color rgb="FF6B7280"/>
        <rFont val="Microsoft YaHei"/>
        <family val="0"/>
        <charset val="1"/>
      </rPr>
      <t xml:space="preserve">58 </t>
    </r>
    <r>
      <rPr>
        <sz val="9"/>
        <color rgb="FF6B7280"/>
        <rFont val="Noto Sans CJK SC"/>
        <family val="2"/>
      </rPr>
      <t xml:space="preserve">偏高</t>
    </r>
  </si>
  <si>
    <t xml:space="preserve">柱放大</t>
  </si>
  <si>
    <r>
      <rPr>
        <sz val="9"/>
        <color rgb="FF000000"/>
        <rFont val="Noto Sans CJK SC"/>
        <family val="2"/>
      </rPr>
      <t xml:space="preserve">相对强度 </t>
    </r>
    <r>
      <rPr>
        <sz val="9"/>
        <color rgb="FF000000"/>
        <rFont val="Microsoft YaHei"/>
        <family val="0"/>
        <charset val="1"/>
      </rPr>
      <t xml:space="preserve">ETH/BTC</t>
    </r>
  </si>
  <si>
    <r>
      <rPr>
        <sz val="9"/>
        <color rgb="FF6B7280"/>
        <rFont val="Noto Sans CJK SC"/>
        <family val="2"/>
      </rPr>
      <t xml:space="preserve">跑赢</t>
    </r>
    <r>
      <rPr>
        <sz val="9"/>
        <color rgb="FF6B7280"/>
        <rFont val="Microsoft YaHei"/>
        <family val="0"/>
        <charset val="1"/>
      </rPr>
      <t xml:space="preserve">BTC</t>
    </r>
  </si>
  <si>
    <r>
      <rPr>
        <sz val="9"/>
        <color rgb="FF000000"/>
        <rFont val="Noto Sans CJK SC"/>
        <family val="2"/>
      </rPr>
      <t xml:space="preserve">现货</t>
    </r>
    <r>
      <rPr>
        <sz val="9"/>
        <color rgb="FF000000"/>
        <rFont val="Microsoft YaHei"/>
        <family val="0"/>
        <charset val="1"/>
      </rPr>
      <t xml:space="preserve">ETF </t>
    </r>
    <r>
      <rPr>
        <sz val="9"/>
        <color rgb="FF000000"/>
        <rFont val="Noto Sans CJK SC"/>
        <family val="2"/>
      </rPr>
      <t xml:space="preserve">净流入</t>
    </r>
  </si>
  <si>
    <t xml:space="preserve">大额流入</t>
  </si>
  <si>
    <t xml:space="preserve">温和净流出</t>
  </si>
  <si>
    <r>
      <rPr>
        <sz val="9"/>
        <color rgb="FF000000"/>
        <rFont val="Noto Sans CJK SC"/>
        <family val="2"/>
      </rPr>
      <t xml:space="preserve">成交量 </t>
    </r>
    <r>
      <rPr>
        <sz val="9"/>
        <color rgb="FF000000"/>
        <rFont val="Microsoft YaHei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均量</t>
    </r>
  </si>
  <si>
    <t xml:space="preserve">放量上涨</t>
  </si>
  <si>
    <r>
      <rPr>
        <sz val="9"/>
        <color rgb="FF000000"/>
        <rFont val="Microsoft YaHei"/>
        <family val="0"/>
        <charset val="1"/>
      </rPr>
      <t xml:space="preserve">EIP-1559 </t>
    </r>
    <r>
      <rPr>
        <sz val="9"/>
        <color rgb="FF000000"/>
        <rFont val="Noto Sans CJK SC"/>
        <family val="2"/>
      </rPr>
      <t xml:space="preserve">销毁</t>
    </r>
  </si>
  <si>
    <t xml:space="preserve">回落</t>
  </si>
  <si>
    <t xml:space="preserve">偏正过热</t>
  </si>
  <si>
    <t xml:space="preserve">中性</t>
  </si>
  <si>
    <t xml:space="preserve">DVOL</t>
  </si>
  <si>
    <t xml:space="preserve">极低</t>
  </si>
  <si>
    <t xml:space="preserve">维度分（加权平均，已按维度权重）</t>
  </si>
  <si>
    <r>
      <rPr>
        <sz val="9"/>
        <color rgb="FF000000"/>
        <rFont val="Noto Sans CJK SC"/>
        <family val="2"/>
      </rPr>
      <t xml:space="preserve">维度权重 </t>
    </r>
    <r>
      <rPr>
        <sz val="9"/>
        <color rgb="FF000000"/>
        <rFont val="Microsoft YaHei"/>
        <family val="0"/>
        <charset val="1"/>
      </rPr>
      <t xml:space="preserve">35%</t>
    </r>
  </si>
  <si>
    <r>
      <rPr>
        <sz val="9"/>
        <color rgb="FF6B7280"/>
        <rFont val="Noto Sans CJK SC"/>
        <family val="2"/>
      </rPr>
      <t xml:space="preserve">维度分 </t>
    </r>
    <r>
      <rPr>
        <sz val="9"/>
        <color rgb="FF6B7280"/>
        <rFont val="Microsoft YaHei"/>
        <family val="0"/>
        <charset val="1"/>
      </rPr>
      <t xml:space="preserve">× </t>
    </r>
    <r>
      <rPr>
        <sz val="9"/>
        <color rgb="FF6B7280"/>
        <rFont val="Noto Sans CJK SC"/>
        <family val="2"/>
      </rPr>
      <t xml:space="preserve">维度权重</t>
    </r>
  </si>
  <si>
    <r>
      <rPr>
        <sz val="9"/>
        <color rgb="FF000000"/>
        <rFont val="Noto Sans CJK SC"/>
        <family val="2"/>
      </rPr>
      <t xml:space="preserve">维度权重 </t>
    </r>
    <r>
      <rPr>
        <sz val="9"/>
        <color rgb="FF000000"/>
        <rFont val="Microsoft YaHei"/>
        <family val="0"/>
        <charset val="1"/>
      </rPr>
      <t xml:space="preserve">25%</t>
    </r>
  </si>
  <si>
    <r>
      <rPr>
        <sz val="9"/>
        <color rgb="FF000000"/>
        <rFont val="Noto Sans CJK SC"/>
        <family val="2"/>
      </rPr>
      <t xml:space="preserve">维度权重 </t>
    </r>
    <r>
      <rPr>
        <sz val="9"/>
        <color rgb="FF000000"/>
        <rFont val="Microsoft YaHei"/>
        <family val="0"/>
        <charset val="1"/>
      </rPr>
      <t xml:space="preserve">20%</t>
    </r>
  </si>
  <si>
    <r>
      <rPr>
        <b val="true"/>
        <sz val="10"/>
        <color rgb="FF000000"/>
        <rFont val="Noto Sans CJK SC"/>
        <family val="2"/>
      </rPr>
      <t xml:space="preserve">单币原始分 </t>
    </r>
    <r>
      <rPr>
        <b val="true"/>
        <sz val="10"/>
        <color rgb="FF000000"/>
        <rFont val="Microsoft YaHei"/>
        <family val="0"/>
        <charset val="1"/>
      </rPr>
      <t xml:space="preserve">(Σ</t>
    </r>
    <r>
      <rPr>
        <b val="true"/>
        <sz val="10"/>
        <color rgb="FF000000"/>
        <rFont val="Noto Sans CJK SC"/>
        <family val="2"/>
      </rPr>
      <t xml:space="preserve">维度分</t>
    </r>
    <r>
      <rPr>
        <b val="true"/>
        <sz val="10"/>
        <color rgb="FF000000"/>
        <rFont val="Microsoft YaHei"/>
        <family val="0"/>
        <charset val="1"/>
      </rPr>
      <t xml:space="preserve">×</t>
    </r>
    <r>
      <rPr>
        <b val="true"/>
        <sz val="10"/>
        <color rgb="FF000000"/>
        <rFont val="Noto Sans CJK SC"/>
        <family val="2"/>
      </rPr>
      <t xml:space="preserve">维度权重</t>
    </r>
    <r>
      <rPr>
        <b val="true"/>
        <sz val="10"/>
        <color rgb="FF000000"/>
        <rFont val="Microsoft YaHei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</si>
  <si>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未叠加 </t>
    </r>
    <r>
      <rPr>
        <sz val="9"/>
        <color rgb="FF6B7280"/>
        <rFont val="Microsoft YaHei"/>
        <family val="0"/>
        <charset val="1"/>
      </rPr>
      <t xml:space="preserve">regime</t>
    </r>
  </si>
  <si>
    <r>
      <rPr>
        <b val="true"/>
        <sz val="10"/>
        <color rgb="FFFFFFFF"/>
        <rFont val="Microsoft YaHei"/>
        <family val="0"/>
        <charset val="1"/>
      </rPr>
      <t xml:space="preserve">Regime </t>
    </r>
    <r>
      <rPr>
        <b val="true"/>
        <sz val="10"/>
        <color rgb="FFFFFFFF"/>
        <rFont val="Noto Sans CJK SC"/>
        <family val="2"/>
      </rPr>
      <t xml:space="preserve">环境（宏观</t>
    </r>
    <r>
      <rPr>
        <b val="true"/>
        <sz val="10"/>
        <color rgb="FFFFFFFF"/>
        <rFont val="Microsoft YaHei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行业周期）</t>
    </r>
  </si>
  <si>
    <t xml:space="preserve">宏观维度分</t>
  </si>
  <si>
    <r>
      <rPr>
        <sz val="9"/>
        <color rgb="FF6B7280"/>
        <rFont val="Microsoft YaHei"/>
        <family val="0"/>
        <charset val="1"/>
      </rPr>
      <t xml:space="preserve">[-2,2] </t>
    </r>
    <r>
      <rPr>
        <sz val="9"/>
        <color rgb="FF6B7280"/>
        <rFont val="Noto Sans CJK SC"/>
        <family val="2"/>
      </rPr>
      <t xml:space="preserve">手填</t>
    </r>
  </si>
  <si>
    <t xml:space="preserve">行业周期维度分</t>
  </si>
  <si>
    <r>
      <rPr>
        <b val="true"/>
        <sz val="9"/>
        <color rgb="FF000000"/>
        <rFont val="Microsoft YaHei"/>
        <family val="0"/>
        <charset val="1"/>
      </rPr>
      <t xml:space="preserve">regime_score (</t>
    </r>
    <r>
      <rPr>
        <b val="true"/>
        <sz val="9"/>
        <color rgb="FF000000"/>
        <rFont val="Noto Sans CJK SC"/>
        <family val="2"/>
      </rPr>
      <t xml:space="preserve">归一到</t>
    </r>
    <r>
      <rPr>
        <b val="true"/>
        <sz val="9"/>
        <color rgb="FF000000"/>
        <rFont val="Microsoft YaHei"/>
        <family val="0"/>
        <charset val="1"/>
      </rPr>
      <t xml:space="preserve">[-1,1])</t>
    </r>
  </si>
  <si>
    <r>
      <rPr>
        <sz val="9"/>
        <color rgb="FF6B7280"/>
        <rFont val="Microsoft YaHei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宏观</t>
    </r>
    <r>
      <rPr>
        <sz val="9"/>
        <color rgb="FF6B7280"/>
        <rFont val="Microsoft YaHei"/>
        <family val="0"/>
        <charset val="1"/>
      </rPr>
      <t xml:space="preserve">×50%+</t>
    </r>
    <r>
      <rPr>
        <sz val="9"/>
        <color rgb="FF6B7280"/>
        <rFont val="Noto Sans CJK SC"/>
        <family val="2"/>
      </rPr>
      <t xml:space="preserve">周期</t>
    </r>
    <r>
      <rPr>
        <sz val="9"/>
        <color rgb="FF6B7280"/>
        <rFont val="Microsoft YaHei"/>
        <family val="0"/>
        <charset val="1"/>
      </rPr>
      <t xml:space="preserve">×50%)/2</t>
    </r>
  </si>
  <si>
    <r>
      <rPr>
        <sz val="9"/>
        <color rgb="FF000000"/>
        <rFont val="Microsoft YaHei"/>
        <family val="0"/>
        <charset val="1"/>
      </rPr>
      <t xml:space="preserve">regime </t>
    </r>
    <r>
      <rPr>
        <sz val="9"/>
        <color rgb="FF000000"/>
        <rFont val="Noto Sans CJK SC"/>
        <family val="2"/>
      </rPr>
      <t xml:space="preserve">做多系数</t>
    </r>
  </si>
  <si>
    <t xml:space="preserve">做多信号缩放</t>
  </si>
  <si>
    <r>
      <rPr>
        <b val="true"/>
        <sz val="11"/>
        <color rgb="FFFFFFFF"/>
        <rFont val="Noto Sans CJK SC"/>
        <family val="2"/>
      </rPr>
      <t xml:space="preserve">最终合成分 </t>
    </r>
    <r>
      <rPr>
        <b val="true"/>
        <sz val="11"/>
        <color rgb="FFFFFFFF"/>
        <rFont val="Microsoft YaHei"/>
        <family val="0"/>
        <charset val="1"/>
      </rPr>
      <t xml:space="preserve">= </t>
    </r>
    <r>
      <rPr>
        <b val="true"/>
        <sz val="11"/>
        <color rgb="FFFFFFFF"/>
        <rFont val="Noto Sans CJK SC"/>
        <family val="2"/>
      </rPr>
      <t xml:space="preserve">原始分 </t>
    </r>
    <r>
      <rPr>
        <b val="true"/>
        <sz val="11"/>
        <color rgb="FFFFFFFF"/>
        <rFont val="Microsoft YaHei"/>
        <family val="0"/>
        <charset val="1"/>
      </rPr>
      <t xml:space="preserve">× regime</t>
    </r>
    <r>
      <rPr>
        <b val="true"/>
        <sz val="11"/>
        <color rgb="FFFFFFFF"/>
        <rFont val="Noto Sans CJK SC"/>
        <family val="2"/>
      </rPr>
      <t xml:space="preserve">系数</t>
    </r>
  </si>
  <si>
    <t xml:space="preserve">动作分档</t>
  </si>
  <si>
    <t xml:space="preserve">注：此为演示用因子子集与占位分值。实盘请用规则表全量因子，并先回测校准维度权重后再采信动作。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</si>
</sst>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Microsoft YaHei"/>
      <family val="0"/>
      <charset val="1"/>
    </font>
    <font>
      <sz val="9"/>
      <color rgb="FFFFFFFF"/>
      <name val="Noto Sans CJK SC"/>
      <family val="2"/>
    </font>
    <font>
      <sz val="9"/>
      <color rgb="FFFFFFFF"/>
      <name val="Microsoft YaHei"/>
      <family val="0"/>
      <charset val="1"/>
    </font>
    <font>
      <b val="true"/>
      <sz val="11"/>
      <color rgb="FFFFFFFF"/>
      <name val="Noto Sans CJK SC"/>
      <family val="2"/>
    </font>
    <font>
      <sz val="10"/>
      <color rgb="FF000000"/>
      <name val="Microsoft YaHei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Microsoft YaHei"/>
      <family val="0"/>
      <charset val="1"/>
    </font>
    <font>
      <b val="true"/>
      <sz val="10"/>
      <color rgb="FF000000"/>
      <name val="Noto Sans CJK SC"/>
      <family val="2"/>
    </font>
    <font>
      <sz val="10"/>
      <color rgb="FF6B7280"/>
      <name val="Noto Sans CJK SC"/>
      <family val="2"/>
    </font>
    <font>
      <sz val="10"/>
      <color rgb="FF6B7280"/>
      <name val="Microsoft YaHei"/>
      <family val="0"/>
      <charset val="1"/>
    </font>
    <font>
      <b val="true"/>
      <sz val="11"/>
      <color rgb="FFFFFFFF"/>
      <name val="Microsoft YaHei"/>
      <family val="0"/>
      <charset val="1"/>
    </font>
    <font>
      <b val="true"/>
      <sz val="9"/>
      <color rgb="FFFFFFFF"/>
      <name val="Microsoft YaHei"/>
      <family val="0"/>
      <charset val="1"/>
    </font>
    <font>
      <b val="true"/>
      <sz val="9"/>
      <color rgb="FFFFFFFF"/>
      <name val="Noto Sans CJK SC"/>
      <family val="2"/>
    </font>
    <font>
      <sz val="9"/>
      <color rgb="FF000000"/>
      <name val="Microsoft YaHei"/>
      <family val="0"/>
      <charset val="1"/>
    </font>
    <font>
      <sz val="9"/>
      <color rgb="FF000000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Microsoft YaHei"/>
      <family val="0"/>
      <charset val="1"/>
    </font>
    <font>
      <b val="true"/>
      <sz val="14"/>
      <color rgb="FFFFFFFF"/>
      <name val="Noto Sans CJK SC"/>
      <family val="2"/>
    </font>
    <font>
      <b val="true"/>
      <sz val="14"/>
      <color rgb="FFFFFFFF"/>
      <name val="Microsoft YaHei"/>
      <family val="0"/>
      <charset val="1"/>
    </font>
    <font>
      <b val="true"/>
      <sz val="9"/>
      <color rgb="FFB00020"/>
      <name val="Microsoft YaHei"/>
      <family val="0"/>
      <charset val="1"/>
    </font>
    <font>
      <b val="true"/>
      <sz val="9"/>
      <color rgb="FFB00020"/>
      <name val="Noto Sans CJK SC"/>
      <family val="2"/>
    </font>
    <font>
      <sz val="9"/>
      <color rgb="FF6B7280"/>
      <name val="Noto Sans CJK SC"/>
      <family val="2"/>
    </font>
    <font>
      <sz val="9"/>
      <color rgb="FF6B7280"/>
      <name val="Microsoft YaHei"/>
      <family val="0"/>
      <charset val="1"/>
    </font>
    <font>
      <b val="true"/>
      <sz val="11"/>
      <color rgb="FF000000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b val="true"/>
      <sz val="10"/>
      <color rgb="FFFFFFFF"/>
      <name val="Noto Sans CJK SC"/>
      <family val="2"/>
    </font>
    <font>
      <b val="true"/>
      <sz val="13"/>
      <color rgb="FFFFFFFF"/>
      <name val="Microsoft YaHei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B00020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4374"/>
        <bgColor rgb="FF1F2A44"/>
      </patternFill>
    </fill>
    <fill>
      <patternFill patternType="solid">
        <fgColor rgb="FF3B4CCA"/>
        <bgColor rgb="FF2E4374"/>
      </patternFill>
    </fill>
    <fill>
      <patternFill patternType="solid">
        <fgColor rgb="FFEAF0FB"/>
        <bgColor rgb="FFFFFFFF"/>
      </patternFill>
    </fill>
    <fill>
      <patternFill patternType="solid">
        <fgColor rgb="FFFFFFFF"/>
        <bgColor rgb="FFEAF0FB"/>
      </patternFill>
    </fill>
    <fill>
      <patternFill patternType="solid">
        <fgColor rgb="FF7A3BB5"/>
        <bgColor rgb="FF3B4CCA"/>
      </patternFill>
    </fill>
    <fill>
      <patternFill patternType="solid">
        <fgColor rgb="FF1E7A6E"/>
        <bgColor rgb="FF0B7A3B"/>
      </patternFill>
    </fill>
    <fill>
      <patternFill patternType="solid">
        <fgColor rgb="FFC77A0A"/>
        <bgColor rgb="FFFF9900"/>
      </patternFill>
    </fill>
    <fill>
      <patternFill patternType="solid">
        <fgColor rgb="FFB0344C"/>
        <bgColor rgb="FF993300"/>
      </patternFill>
    </fill>
    <fill>
      <patternFill patternType="solid">
        <fgColor rgb="FF2E6B34"/>
        <bgColor rgb="FF0B7A3B"/>
      </patternFill>
    </fill>
    <fill>
      <patternFill patternType="solid">
        <fgColor rgb="FFFFF2CC"/>
        <bgColor rgb="FFEAF0FB"/>
      </patternFill>
    </fill>
    <fill>
      <patternFill patternType="solid">
        <fgColor rgb="FF0B7A3B"/>
        <bgColor rgb="FF1E7A6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/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B7A3B"/>
      <rgbColor rgb="FF000080"/>
      <rgbColor rgb="FF808000"/>
      <rgbColor rgb="FF800080"/>
      <rgbColor rgb="FF1E7A6E"/>
      <rgbColor rgb="FFC0C0C0"/>
      <rgbColor rgb="FF808080"/>
      <rgbColor rgb="FF9999FF"/>
      <rgbColor rgb="FFB0344C"/>
      <rgbColor rgb="FFFFF2CC"/>
      <rgbColor rgb="FFEAF0FB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2E6B3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4CCA"/>
      <rgbColor rgb="FF33CCCC"/>
      <rgbColor rgb="FF99CC00"/>
      <rgbColor rgb="FFFFCC00"/>
      <rgbColor rgb="FFFF9900"/>
      <rgbColor rgb="FFC77A0A"/>
      <rgbColor rgb="FF6B7280"/>
      <rgbColor rgb="FF969696"/>
      <rgbColor rgb="FF003366"/>
      <rgbColor rgb="FF339966"/>
      <rgbColor rgb="FF003300"/>
      <rgbColor rgb="FF333300"/>
      <rgbColor rgb="FF993300"/>
      <rgbColor rgb="FF7A3BB5"/>
      <rgbColor rgb="FF2E4374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2"/>
    <col collapsed="false" customWidth="true" hidden="false" outlineLevel="0" max="6" min="4" style="0" width="16"/>
    <col collapsed="false" customWidth="true" hidden="false" outlineLevel="0" max="7" min="7" style="0" width="40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30" hidden="false" customHeight="true" outlineLevel="0" collapsed="false">
      <c r="B6" s="4" t="s">
        <v>3</v>
      </c>
      <c r="C6" s="4"/>
      <c r="D6" s="4"/>
      <c r="E6" s="4"/>
      <c r="F6" s="4"/>
      <c r="G6" s="4"/>
    </row>
    <row r="7" customFormat="false" ht="15.75" hidden="false" customHeight="true" outlineLevel="0" collapsed="false">
      <c r="B7" s="4" t="s">
        <v>4</v>
      </c>
      <c r="C7" s="4"/>
      <c r="D7" s="4"/>
      <c r="E7" s="4"/>
      <c r="F7" s="4"/>
      <c r="G7" s="4"/>
    </row>
    <row r="8" customFormat="false" ht="30" hidden="false" customHeight="true" outlineLevel="0" collapsed="false">
      <c r="B8" s="4" t="s">
        <v>5</v>
      </c>
      <c r="C8" s="4"/>
      <c r="D8" s="4"/>
      <c r="E8" s="4"/>
      <c r="F8" s="4"/>
      <c r="G8" s="4"/>
    </row>
    <row r="9" customFormat="false" ht="30" hidden="false" customHeight="true" outlineLevel="0" collapsed="false">
      <c r="B9" s="4" t="s">
        <v>6</v>
      </c>
      <c r="C9" s="4"/>
      <c r="D9" s="4"/>
      <c r="E9" s="4"/>
      <c r="F9" s="4"/>
      <c r="G9" s="4"/>
    </row>
    <row r="11" customFormat="false" ht="21.75" hidden="false" customHeight="true" outlineLevel="0" collapsed="false">
      <c r="B11" s="3" t="s">
        <v>7</v>
      </c>
      <c r="C11" s="3"/>
      <c r="D11" s="3"/>
      <c r="E11" s="3"/>
      <c r="F11" s="3"/>
      <c r="G11" s="3"/>
    </row>
    <row r="12" customFormat="false" ht="15.75" hidden="false" customHeight="true" outlineLevel="0" collapsed="false">
      <c r="B12" s="5" t="s">
        <v>8</v>
      </c>
      <c r="C12" s="5"/>
      <c r="D12" s="5"/>
      <c r="E12" s="5"/>
      <c r="F12" s="5"/>
      <c r="G12" s="5"/>
    </row>
    <row r="13" customFormat="false" ht="30" hidden="false" customHeight="true" outlineLevel="0" collapsed="false">
      <c r="B13" s="6" t="s">
        <v>9</v>
      </c>
      <c r="C13" s="6"/>
      <c r="D13" s="6"/>
      <c r="E13" s="6"/>
      <c r="F13" s="6"/>
      <c r="G13" s="6"/>
    </row>
    <row r="14" customFormat="false" ht="30" hidden="false" customHeight="true" outlineLevel="0" collapsed="false">
      <c r="B14" s="7" t="s">
        <v>10</v>
      </c>
      <c r="C14" s="7"/>
      <c r="D14" s="7"/>
      <c r="E14" s="7"/>
      <c r="F14" s="7"/>
      <c r="G14" s="7"/>
    </row>
    <row r="16" customFormat="false" ht="21.75" hidden="false" customHeight="true" outlineLevel="0" collapsed="false">
      <c r="B16" s="3" t="s">
        <v>11</v>
      </c>
      <c r="C16" s="3"/>
      <c r="D16" s="3"/>
      <c r="E16" s="3"/>
      <c r="F16" s="3"/>
      <c r="G16" s="3"/>
    </row>
    <row r="17" customFormat="false" ht="15" hidden="false" customHeight="false" outlineLevel="0" collapsed="false">
      <c r="B17" s="8" t="s">
        <v>12</v>
      </c>
      <c r="C17" s="9" t="s">
        <v>13</v>
      </c>
      <c r="D17" s="9" t="s">
        <v>14</v>
      </c>
      <c r="E17" s="9" t="s">
        <v>15</v>
      </c>
      <c r="F17" s="10"/>
      <c r="G17" s="10"/>
    </row>
    <row r="18" customFormat="false" ht="15" hidden="false" customHeight="false" outlineLevel="0" collapsed="false">
      <c r="B18" s="11" t="s">
        <v>16</v>
      </c>
      <c r="C18" s="12" t="s">
        <v>17</v>
      </c>
      <c r="D18" s="11" t="s">
        <v>18</v>
      </c>
      <c r="E18" s="11" t="s">
        <v>19</v>
      </c>
      <c r="F18" s="10"/>
      <c r="G18" s="10"/>
    </row>
    <row r="19" customFormat="false" ht="15" hidden="false" customHeight="false" outlineLevel="0" collapsed="false">
      <c r="B19" s="11" t="s">
        <v>20</v>
      </c>
      <c r="C19" s="12" t="s">
        <v>21</v>
      </c>
      <c r="D19" s="11" t="s">
        <v>22</v>
      </c>
      <c r="E19" s="11" t="s">
        <v>22</v>
      </c>
      <c r="F19" s="10"/>
      <c r="G19" s="10"/>
    </row>
    <row r="20" customFormat="false" ht="15" hidden="false" customHeight="false" outlineLevel="0" collapsed="false">
      <c r="B20" s="11" t="s">
        <v>23</v>
      </c>
      <c r="C20" s="12" t="s">
        <v>24</v>
      </c>
      <c r="D20" s="11" t="s">
        <v>25</v>
      </c>
      <c r="E20" s="11" t="s">
        <v>26</v>
      </c>
      <c r="F20" s="10"/>
      <c r="G20" s="10"/>
    </row>
    <row r="21" customFormat="false" ht="30" hidden="false" customHeight="true" outlineLevel="0" collapsed="false">
      <c r="B21" s="13" t="s">
        <v>27</v>
      </c>
      <c r="C21" s="13"/>
      <c r="D21" s="13"/>
      <c r="E21" s="13"/>
      <c r="F21" s="13"/>
      <c r="G21" s="13"/>
    </row>
    <row r="23" customFormat="false" ht="21.75" hidden="false" customHeight="true" outlineLevel="0" collapsed="false">
      <c r="B23" s="3" t="s">
        <v>28</v>
      </c>
      <c r="C23" s="3"/>
      <c r="D23" s="3"/>
      <c r="E23" s="3"/>
      <c r="F23" s="3"/>
      <c r="G23" s="3"/>
    </row>
    <row r="24" customFormat="false" ht="15" hidden="false" customHeight="true" outlineLevel="0" collapsed="false">
      <c r="B24" s="9" t="s">
        <v>29</v>
      </c>
      <c r="C24" s="9" t="s">
        <v>30</v>
      </c>
      <c r="D24" s="9" t="s">
        <v>31</v>
      </c>
      <c r="E24" s="9"/>
      <c r="F24" s="9"/>
      <c r="G24" s="9"/>
    </row>
    <row r="25" customFormat="false" ht="15" hidden="false" customHeight="true" outlineLevel="0" collapsed="false">
      <c r="B25" s="11" t="s">
        <v>32</v>
      </c>
      <c r="C25" s="14" t="s">
        <v>33</v>
      </c>
      <c r="D25" s="15" t="s">
        <v>34</v>
      </c>
      <c r="E25" s="15"/>
      <c r="F25" s="15"/>
      <c r="G25" s="15"/>
    </row>
    <row r="26" customFormat="false" ht="15" hidden="false" customHeight="true" outlineLevel="0" collapsed="false">
      <c r="B26" s="11" t="s">
        <v>35</v>
      </c>
      <c r="C26" s="14" t="s">
        <v>36</v>
      </c>
      <c r="D26" s="15" t="s">
        <v>37</v>
      </c>
      <c r="E26" s="15"/>
      <c r="F26" s="15"/>
      <c r="G26" s="15"/>
    </row>
    <row r="27" customFormat="false" ht="15" hidden="false" customHeight="true" outlineLevel="0" collapsed="false">
      <c r="B27" s="11" t="s">
        <v>38</v>
      </c>
      <c r="C27" s="14" t="s">
        <v>39</v>
      </c>
      <c r="D27" s="15" t="s">
        <v>40</v>
      </c>
      <c r="E27" s="15"/>
      <c r="F27" s="15"/>
      <c r="G27" s="15"/>
    </row>
    <row r="28" customFormat="false" ht="15" hidden="false" customHeight="true" outlineLevel="0" collapsed="false">
      <c r="B28" s="11" t="s">
        <v>41</v>
      </c>
      <c r="C28" s="14" t="s">
        <v>42</v>
      </c>
      <c r="D28" s="15" t="s">
        <v>43</v>
      </c>
      <c r="E28" s="15"/>
      <c r="F28" s="15"/>
      <c r="G28" s="15"/>
    </row>
    <row r="29" customFormat="false" ht="15" hidden="false" customHeight="true" outlineLevel="0" collapsed="false">
      <c r="B29" s="11" t="s">
        <v>44</v>
      </c>
      <c r="C29" s="14" t="s">
        <v>45</v>
      </c>
      <c r="D29" s="15" t="s">
        <v>46</v>
      </c>
      <c r="E29" s="15"/>
      <c r="F29" s="15"/>
      <c r="G29" s="15"/>
    </row>
    <row r="30" customFormat="false" ht="30" hidden="false" customHeight="true" outlineLevel="0" collapsed="false">
      <c r="B30" s="7" t="s">
        <v>47</v>
      </c>
      <c r="C30" s="7"/>
      <c r="D30" s="7"/>
      <c r="E30" s="7"/>
      <c r="F30" s="7"/>
      <c r="G30" s="7"/>
    </row>
    <row r="32" customFormat="false" ht="21.75" hidden="false" customHeight="true" outlineLevel="0" collapsed="false">
      <c r="B32" s="3" t="s">
        <v>48</v>
      </c>
      <c r="C32" s="3"/>
      <c r="D32" s="3"/>
      <c r="E32" s="3"/>
      <c r="F32" s="3"/>
      <c r="G32" s="3"/>
    </row>
    <row r="33" customFormat="false" ht="30" hidden="false" customHeight="true" outlineLevel="0" collapsed="false">
      <c r="B33" s="16" t="s">
        <v>49</v>
      </c>
      <c r="C33" s="16"/>
      <c r="D33" s="16"/>
      <c r="E33" s="16"/>
      <c r="F33" s="16"/>
      <c r="G33" s="16"/>
    </row>
    <row r="34" customFormat="false" ht="30" hidden="false" customHeight="true" outlineLevel="0" collapsed="false">
      <c r="B34" s="16" t="s">
        <v>50</v>
      </c>
      <c r="C34" s="16"/>
      <c r="D34" s="16"/>
      <c r="E34" s="16"/>
      <c r="F34" s="16"/>
      <c r="G34" s="16"/>
    </row>
    <row r="35" customFormat="false" ht="30" hidden="false" customHeight="true" outlineLevel="0" collapsed="false">
      <c r="B35" s="16" t="s">
        <v>51</v>
      </c>
      <c r="C35" s="16"/>
      <c r="D35" s="16"/>
      <c r="E35" s="16"/>
      <c r="F35" s="16"/>
      <c r="G35" s="16"/>
    </row>
    <row r="36" customFormat="false" ht="30" hidden="false" customHeight="true" outlineLevel="0" collapsed="false">
      <c r="B36" s="16" t="s">
        <v>52</v>
      </c>
      <c r="C36" s="16"/>
      <c r="D36" s="16"/>
      <c r="E36" s="16"/>
      <c r="F36" s="16"/>
      <c r="G36" s="16"/>
    </row>
    <row r="37" customFormat="false" ht="15.75" hidden="false" customHeight="true" outlineLevel="0" collapsed="false">
      <c r="B37" s="7" t="s">
        <v>53</v>
      </c>
      <c r="C37" s="7"/>
      <c r="D37" s="7"/>
      <c r="E37" s="7"/>
      <c r="F37" s="7"/>
      <c r="G37" s="7"/>
    </row>
  </sheetData>
  <mergeCells count="31">
    <mergeCell ref="B2:G2"/>
    <mergeCell ref="B3:G3"/>
    <mergeCell ref="B5:G5"/>
    <mergeCell ref="B6:G6"/>
    <mergeCell ref="B7:G7"/>
    <mergeCell ref="B8:G8"/>
    <mergeCell ref="B9:G9"/>
    <mergeCell ref="B11:G11"/>
    <mergeCell ref="B12:G12"/>
    <mergeCell ref="B13:G13"/>
    <mergeCell ref="B14:G14"/>
    <mergeCell ref="B16:G16"/>
    <mergeCell ref="F17:G17"/>
    <mergeCell ref="F18:G18"/>
    <mergeCell ref="F19:G19"/>
    <mergeCell ref="F20:G20"/>
    <mergeCell ref="B21:G21"/>
    <mergeCell ref="B23:G23"/>
    <mergeCell ref="D24:G24"/>
    <mergeCell ref="D25:G25"/>
    <mergeCell ref="D26:G26"/>
    <mergeCell ref="D27:G27"/>
    <mergeCell ref="D28:G28"/>
    <mergeCell ref="D29:G29"/>
    <mergeCell ref="B30:G30"/>
    <mergeCell ref="B32:G32"/>
    <mergeCell ref="B33:G33"/>
    <mergeCell ref="B34:G34"/>
    <mergeCell ref="B35:G35"/>
    <mergeCell ref="B36:G36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46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6"/>
  </cols>
  <sheetData>
    <row r="2" customFormat="false" ht="25.5" hidden="false" customHeight="true" outlineLevel="0" collapsed="false">
      <c r="B2" s="17" t="s">
        <v>54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30" hidden="false" customHeight="true" outlineLevel="0" collapsed="false">
      <c r="B3" s="18" t="s">
        <v>55</v>
      </c>
      <c r="C3" s="18" t="s">
        <v>56</v>
      </c>
      <c r="D3" s="18" t="s">
        <v>57</v>
      </c>
      <c r="E3" s="18" t="s">
        <v>58</v>
      </c>
      <c r="F3" s="18" t="s">
        <v>59</v>
      </c>
      <c r="G3" s="18" t="s">
        <v>60</v>
      </c>
      <c r="H3" s="18" t="s">
        <v>61</v>
      </c>
      <c r="I3" s="18" t="s">
        <v>62</v>
      </c>
      <c r="J3" s="18" t="s">
        <v>63</v>
      </c>
      <c r="K3" s="18" t="s">
        <v>64</v>
      </c>
      <c r="L3" s="18" t="s">
        <v>65</v>
      </c>
    </row>
    <row r="4" customFormat="false" ht="30" hidden="false" customHeight="true" outlineLevel="0" collapsed="false">
      <c r="B4" s="19" t="s">
        <v>66</v>
      </c>
      <c r="C4" s="20" t="s">
        <v>67</v>
      </c>
      <c r="D4" s="21" t="s">
        <v>68</v>
      </c>
      <c r="E4" s="21" t="s">
        <v>69</v>
      </c>
      <c r="F4" s="20" t="s">
        <v>70</v>
      </c>
      <c r="G4" s="22" t="s">
        <v>71</v>
      </c>
      <c r="H4" s="22" t="s">
        <v>72</v>
      </c>
      <c r="I4" s="22" t="s">
        <v>73</v>
      </c>
      <c r="J4" s="21" t="s">
        <v>74</v>
      </c>
      <c r="K4" s="21" t="s">
        <v>75</v>
      </c>
      <c r="L4" s="20" t="s">
        <v>76</v>
      </c>
    </row>
    <row r="5" customFormat="false" ht="30" hidden="false" customHeight="true" outlineLevel="0" collapsed="false">
      <c r="B5" s="19" t="s">
        <v>66</v>
      </c>
      <c r="C5" s="23" t="s">
        <v>77</v>
      </c>
      <c r="D5" s="24" t="s">
        <v>68</v>
      </c>
      <c r="E5" s="24" t="s">
        <v>69</v>
      </c>
      <c r="F5" s="23" t="s">
        <v>78</v>
      </c>
      <c r="G5" s="25" t="s">
        <v>71</v>
      </c>
      <c r="H5" s="25" t="s">
        <v>72</v>
      </c>
      <c r="I5" s="25" t="s">
        <v>79</v>
      </c>
      <c r="J5" s="24" t="s">
        <v>80</v>
      </c>
      <c r="K5" s="24" t="s">
        <v>75</v>
      </c>
      <c r="L5" s="26" t="s">
        <v>81</v>
      </c>
    </row>
    <row r="6" customFormat="false" ht="30" hidden="false" customHeight="true" outlineLevel="0" collapsed="false">
      <c r="B6" s="19" t="s">
        <v>66</v>
      </c>
      <c r="C6" s="20" t="s">
        <v>82</v>
      </c>
      <c r="D6" s="21" t="s">
        <v>68</v>
      </c>
      <c r="E6" s="21" t="s">
        <v>83</v>
      </c>
      <c r="F6" s="20" t="s">
        <v>84</v>
      </c>
      <c r="G6" s="22" t="s">
        <v>71</v>
      </c>
      <c r="H6" s="22" t="s">
        <v>72</v>
      </c>
      <c r="I6" s="22" t="s">
        <v>85</v>
      </c>
      <c r="J6" s="21" t="s">
        <v>74</v>
      </c>
      <c r="K6" s="22" t="s">
        <v>86</v>
      </c>
      <c r="L6" s="27" t="s">
        <v>87</v>
      </c>
    </row>
    <row r="7" customFormat="false" ht="30" hidden="false" customHeight="true" outlineLevel="0" collapsed="false">
      <c r="B7" s="19" t="s">
        <v>66</v>
      </c>
      <c r="C7" s="26" t="s">
        <v>88</v>
      </c>
      <c r="D7" s="24" t="s">
        <v>68</v>
      </c>
      <c r="E7" s="24" t="s">
        <v>89</v>
      </c>
      <c r="F7" s="23" t="s">
        <v>90</v>
      </c>
      <c r="G7" s="25" t="s">
        <v>91</v>
      </c>
      <c r="H7" s="25" t="s">
        <v>92</v>
      </c>
      <c r="I7" s="25" t="s">
        <v>79</v>
      </c>
      <c r="J7" s="24" t="s">
        <v>80</v>
      </c>
      <c r="K7" s="24" t="s">
        <v>93</v>
      </c>
      <c r="L7" s="23" t="s">
        <v>94</v>
      </c>
    </row>
    <row r="8" customFormat="false" ht="30" hidden="false" customHeight="true" outlineLevel="0" collapsed="false">
      <c r="B8" s="19" t="s">
        <v>66</v>
      </c>
      <c r="C8" s="20" t="s">
        <v>95</v>
      </c>
      <c r="D8" s="21" t="s">
        <v>68</v>
      </c>
      <c r="E8" s="21" t="s">
        <v>96</v>
      </c>
      <c r="F8" s="20" t="s">
        <v>97</v>
      </c>
      <c r="G8" s="22" t="s">
        <v>98</v>
      </c>
      <c r="H8" s="22" t="s">
        <v>92</v>
      </c>
      <c r="I8" s="22" t="s">
        <v>79</v>
      </c>
      <c r="J8" s="21" t="s">
        <v>80</v>
      </c>
      <c r="K8" s="21" t="s">
        <v>99</v>
      </c>
      <c r="L8" s="20" t="s">
        <v>100</v>
      </c>
    </row>
    <row r="9" customFormat="false" ht="30" hidden="false" customHeight="true" outlineLevel="0" collapsed="false">
      <c r="B9" s="19" t="s">
        <v>66</v>
      </c>
      <c r="C9" s="26" t="s">
        <v>101</v>
      </c>
      <c r="D9" s="24" t="s">
        <v>68</v>
      </c>
      <c r="E9" s="24" t="s">
        <v>102</v>
      </c>
      <c r="F9" s="23" t="s">
        <v>103</v>
      </c>
      <c r="G9" s="25" t="s">
        <v>104</v>
      </c>
      <c r="H9" s="25" t="s">
        <v>105</v>
      </c>
      <c r="I9" s="25" t="s">
        <v>106</v>
      </c>
      <c r="J9" s="24" t="s">
        <v>74</v>
      </c>
      <c r="K9" s="24" t="s">
        <v>93</v>
      </c>
      <c r="L9" s="23" t="s">
        <v>107</v>
      </c>
    </row>
    <row r="10" customFormat="false" ht="30" hidden="false" customHeight="true" outlineLevel="0" collapsed="false">
      <c r="B10" s="19" t="s">
        <v>66</v>
      </c>
      <c r="C10" s="20" t="s">
        <v>108</v>
      </c>
      <c r="D10" s="21" t="s">
        <v>68</v>
      </c>
      <c r="E10" s="21" t="s">
        <v>109</v>
      </c>
      <c r="F10" s="20" t="s">
        <v>110</v>
      </c>
      <c r="G10" s="22" t="s">
        <v>111</v>
      </c>
      <c r="H10" s="22" t="s">
        <v>105</v>
      </c>
      <c r="I10" s="22" t="s">
        <v>112</v>
      </c>
      <c r="J10" s="21" t="s">
        <v>74</v>
      </c>
      <c r="K10" s="21" t="s">
        <v>93</v>
      </c>
      <c r="L10" s="20" t="s">
        <v>113</v>
      </c>
    </row>
    <row r="11" customFormat="false" ht="30" hidden="false" customHeight="true" outlineLevel="0" collapsed="false">
      <c r="B11" s="19" t="s">
        <v>66</v>
      </c>
      <c r="C11" s="26" t="s">
        <v>114</v>
      </c>
      <c r="D11" s="24" t="s">
        <v>68</v>
      </c>
      <c r="E11" s="24" t="s">
        <v>115</v>
      </c>
      <c r="F11" s="23" t="s">
        <v>116</v>
      </c>
      <c r="G11" s="25" t="s">
        <v>104</v>
      </c>
      <c r="H11" s="25" t="s">
        <v>105</v>
      </c>
      <c r="I11" s="25" t="s">
        <v>117</v>
      </c>
      <c r="J11" s="24" t="s">
        <v>74</v>
      </c>
      <c r="K11" s="24" t="s">
        <v>93</v>
      </c>
      <c r="L11" s="26" t="s">
        <v>118</v>
      </c>
    </row>
    <row r="12" customFormat="false" ht="30" hidden="false" customHeight="true" outlineLevel="0" collapsed="false">
      <c r="B12" s="19" t="s">
        <v>66</v>
      </c>
      <c r="C12" s="28" t="s">
        <v>119</v>
      </c>
      <c r="D12" s="21" t="s">
        <v>68</v>
      </c>
      <c r="E12" s="21" t="s">
        <v>120</v>
      </c>
      <c r="F12" s="20" t="s">
        <v>121</v>
      </c>
      <c r="G12" s="22" t="s">
        <v>111</v>
      </c>
      <c r="H12" s="22" t="s">
        <v>105</v>
      </c>
      <c r="I12" s="22" t="s">
        <v>79</v>
      </c>
      <c r="J12" s="21" t="s">
        <v>80</v>
      </c>
      <c r="K12" s="21" t="s">
        <v>122</v>
      </c>
      <c r="L12" s="20" t="s">
        <v>123</v>
      </c>
    </row>
    <row r="13" customFormat="false" ht="30" hidden="false" customHeight="true" outlineLevel="0" collapsed="false">
      <c r="B13" s="19" t="s">
        <v>66</v>
      </c>
      <c r="C13" s="23" t="s">
        <v>124</v>
      </c>
      <c r="D13" s="24" t="s">
        <v>68</v>
      </c>
      <c r="E13" s="24" t="s">
        <v>125</v>
      </c>
      <c r="F13" s="23" t="s">
        <v>126</v>
      </c>
      <c r="G13" s="25" t="s">
        <v>91</v>
      </c>
      <c r="H13" s="25" t="s">
        <v>92</v>
      </c>
      <c r="I13" s="25" t="s">
        <v>127</v>
      </c>
      <c r="J13" s="24" t="s">
        <v>128</v>
      </c>
      <c r="K13" s="24" t="s">
        <v>93</v>
      </c>
      <c r="L13" s="23" t="s">
        <v>129</v>
      </c>
    </row>
    <row r="14" customFormat="false" ht="30" hidden="false" customHeight="true" outlineLevel="0" collapsed="false">
      <c r="B14" s="29" t="s">
        <v>130</v>
      </c>
      <c r="C14" s="20" t="s">
        <v>131</v>
      </c>
      <c r="D14" s="21" t="s">
        <v>68</v>
      </c>
      <c r="E14" s="21" t="s">
        <v>132</v>
      </c>
      <c r="F14" s="20" t="s">
        <v>133</v>
      </c>
      <c r="G14" s="22" t="s">
        <v>71</v>
      </c>
      <c r="H14" s="22" t="s">
        <v>72</v>
      </c>
      <c r="I14" s="22" t="s">
        <v>134</v>
      </c>
      <c r="J14" s="21" t="s">
        <v>74</v>
      </c>
      <c r="K14" s="21" t="s">
        <v>135</v>
      </c>
      <c r="L14" s="20" t="s">
        <v>136</v>
      </c>
    </row>
    <row r="15" customFormat="false" ht="30" hidden="false" customHeight="true" outlineLevel="0" collapsed="false">
      <c r="B15" s="29" t="s">
        <v>130</v>
      </c>
      <c r="C15" s="23" t="s">
        <v>137</v>
      </c>
      <c r="D15" s="24" t="s">
        <v>68</v>
      </c>
      <c r="E15" s="24" t="s">
        <v>138</v>
      </c>
      <c r="F15" s="26" t="s">
        <v>139</v>
      </c>
      <c r="G15" s="25" t="s">
        <v>71</v>
      </c>
      <c r="H15" s="25" t="s">
        <v>92</v>
      </c>
      <c r="I15" s="25" t="s">
        <v>140</v>
      </c>
      <c r="J15" s="24" t="s">
        <v>80</v>
      </c>
      <c r="K15" s="24" t="s">
        <v>99</v>
      </c>
      <c r="L15" s="30" t="s">
        <v>141</v>
      </c>
    </row>
    <row r="16" customFormat="false" ht="30" hidden="false" customHeight="true" outlineLevel="0" collapsed="false">
      <c r="B16" s="29" t="s">
        <v>130</v>
      </c>
      <c r="C16" s="20" t="s">
        <v>142</v>
      </c>
      <c r="D16" s="21" t="s">
        <v>68</v>
      </c>
      <c r="E16" s="21" t="s">
        <v>89</v>
      </c>
      <c r="F16" s="20" t="s">
        <v>143</v>
      </c>
      <c r="G16" s="22" t="s">
        <v>91</v>
      </c>
      <c r="H16" s="22" t="s">
        <v>92</v>
      </c>
      <c r="I16" s="22" t="s">
        <v>144</v>
      </c>
      <c r="J16" s="21" t="s">
        <v>80</v>
      </c>
      <c r="K16" s="21" t="s">
        <v>99</v>
      </c>
      <c r="L16" s="20" t="s">
        <v>145</v>
      </c>
    </row>
    <row r="17" customFormat="false" ht="30" hidden="false" customHeight="true" outlineLevel="0" collapsed="false">
      <c r="B17" s="29" t="s">
        <v>130</v>
      </c>
      <c r="C17" s="26" t="s">
        <v>146</v>
      </c>
      <c r="D17" s="24" t="s">
        <v>68</v>
      </c>
      <c r="E17" s="24" t="s">
        <v>147</v>
      </c>
      <c r="F17" s="23" t="s">
        <v>148</v>
      </c>
      <c r="G17" s="25" t="s">
        <v>71</v>
      </c>
      <c r="H17" s="25" t="s">
        <v>72</v>
      </c>
      <c r="I17" s="25" t="s">
        <v>149</v>
      </c>
      <c r="J17" s="24" t="s">
        <v>80</v>
      </c>
      <c r="K17" s="24" t="s">
        <v>135</v>
      </c>
      <c r="L17" s="30" t="s">
        <v>150</v>
      </c>
    </row>
    <row r="18" customFormat="false" ht="30" hidden="false" customHeight="true" outlineLevel="0" collapsed="false">
      <c r="B18" s="29" t="s">
        <v>130</v>
      </c>
      <c r="C18" s="28" t="s">
        <v>151</v>
      </c>
      <c r="D18" s="21" t="s">
        <v>68</v>
      </c>
      <c r="E18" s="21" t="s">
        <v>152</v>
      </c>
      <c r="F18" s="20" t="s">
        <v>153</v>
      </c>
      <c r="G18" s="22" t="s">
        <v>91</v>
      </c>
      <c r="H18" s="22" t="s">
        <v>92</v>
      </c>
      <c r="I18" s="22" t="s">
        <v>149</v>
      </c>
      <c r="J18" s="21" t="s">
        <v>80</v>
      </c>
      <c r="K18" s="21" t="s">
        <v>93</v>
      </c>
      <c r="L18" s="20" t="s">
        <v>154</v>
      </c>
    </row>
    <row r="19" customFormat="false" ht="30" hidden="false" customHeight="true" outlineLevel="0" collapsed="false">
      <c r="B19" s="29" t="s">
        <v>130</v>
      </c>
      <c r="C19" s="26" t="s">
        <v>155</v>
      </c>
      <c r="D19" s="24" t="s">
        <v>68</v>
      </c>
      <c r="E19" s="24" t="s">
        <v>156</v>
      </c>
      <c r="F19" s="26" t="s">
        <v>157</v>
      </c>
      <c r="G19" s="25" t="s">
        <v>158</v>
      </c>
      <c r="H19" s="25" t="s">
        <v>92</v>
      </c>
      <c r="I19" s="25" t="s">
        <v>134</v>
      </c>
      <c r="J19" s="24" t="s">
        <v>80</v>
      </c>
      <c r="K19" s="24" t="s">
        <v>99</v>
      </c>
      <c r="L19" s="30" t="s">
        <v>159</v>
      </c>
    </row>
    <row r="20" customFormat="false" ht="30" hidden="false" customHeight="true" outlineLevel="0" collapsed="false">
      <c r="B20" s="29" t="s">
        <v>130</v>
      </c>
      <c r="C20" s="28" t="s">
        <v>160</v>
      </c>
      <c r="D20" s="21" t="s">
        <v>68</v>
      </c>
      <c r="E20" s="21" t="s">
        <v>161</v>
      </c>
      <c r="F20" s="28" t="s">
        <v>162</v>
      </c>
      <c r="G20" s="22" t="s">
        <v>98</v>
      </c>
      <c r="H20" s="22" t="s">
        <v>92</v>
      </c>
      <c r="I20" s="22" t="s">
        <v>134</v>
      </c>
      <c r="J20" s="21" t="s">
        <v>80</v>
      </c>
      <c r="K20" s="21" t="s">
        <v>99</v>
      </c>
      <c r="L20" s="31" t="s">
        <v>163</v>
      </c>
    </row>
    <row r="21" customFormat="false" ht="30" hidden="false" customHeight="true" outlineLevel="0" collapsed="false">
      <c r="B21" s="29" t="s">
        <v>130</v>
      </c>
      <c r="C21" s="23" t="s">
        <v>164</v>
      </c>
      <c r="D21" s="24" t="s">
        <v>68</v>
      </c>
      <c r="E21" s="24" t="s">
        <v>165</v>
      </c>
      <c r="F21" s="23" t="s">
        <v>166</v>
      </c>
      <c r="G21" s="25" t="s">
        <v>71</v>
      </c>
      <c r="H21" s="25" t="s">
        <v>92</v>
      </c>
      <c r="I21" s="25" t="s">
        <v>134</v>
      </c>
      <c r="J21" s="24" t="s">
        <v>74</v>
      </c>
      <c r="K21" s="24" t="s">
        <v>135</v>
      </c>
      <c r="L21" s="23" t="s">
        <v>167</v>
      </c>
    </row>
    <row r="22" customFormat="false" ht="30" hidden="false" customHeight="true" outlineLevel="0" collapsed="false">
      <c r="B22" s="29" t="s">
        <v>130</v>
      </c>
      <c r="C22" s="20" t="s">
        <v>168</v>
      </c>
      <c r="D22" s="21" t="s">
        <v>169</v>
      </c>
      <c r="E22" s="21" t="s">
        <v>170</v>
      </c>
      <c r="F22" s="28" t="s">
        <v>171</v>
      </c>
      <c r="G22" s="22" t="s">
        <v>172</v>
      </c>
      <c r="H22" s="22" t="s">
        <v>92</v>
      </c>
      <c r="I22" s="22" t="s">
        <v>173</v>
      </c>
      <c r="J22" s="21" t="s">
        <v>74</v>
      </c>
      <c r="K22" s="21" t="s">
        <v>99</v>
      </c>
      <c r="L22" s="20" t="s">
        <v>174</v>
      </c>
    </row>
    <row r="23" customFormat="false" ht="30" hidden="false" customHeight="true" outlineLevel="0" collapsed="false">
      <c r="B23" s="29" t="s">
        <v>130</v>
      </c>
      <c r="C23" s="26" t="s">
        <v>175</v>
      </c>
      <c r="D23" s="24" t="s">
        <v>169</v>
      </c>
      <c r="E23" s="24" t="s">
        <v>96</v>
      </c>
      <c r="F23" s="23" t="s">
        <v>176</v>
      </c>
      <c r="G23" s="25" t="s">
        <v>104</v>
      </c>
      <c r="H23" s="25" t="s">
        <v>92</v>
      </c>
      <c r="I23" s="25" t="s">
        <v>177</v>
      </c>
      <c r="J23" s="24" t="s">
        <v>80</v>
      </c>
      <c r="K23" s="24" t="s">
        <v>99</v>
      </c>
      <c r="L23" s="23" t="s">
        <v>178</v>
      </c>
    </row>
    <row r="24" customFormat="false" ht="30" hidden="false" customHeight="true" outlineLevel="0" collapsed="false">
      <c r="B24" s="32" t="s">
        <v>179</v>
      </c>
      <c r="C24" s="20" t="s">
        <v>180</v>
      </c>
      <c r="D24" s="22" t="s">
        <v>181</v>
      </c>
      <c r="E24" s="21" t="s">
        <v>182</v>
      </c>
      <c r="F24" s="20" t="s">
        <v>183</v>
      </c>
      <c r="G24" s="22" t="s">
        <v>71</v>
      </c>
      <c r="H24" s="22" t="s">
        <v>72</v>
      </c>
      <c r="I24" s="22" t="s">
        <v>184</v>
      </c>
      <c r="J24" s="21" t="s">
        <v>185</v>
      </c>
      <c r="K24" s="21" t="s">
        <v>99</v>
      </c>
      <c r="L24" s="20" t="s">
        <v>186</v>
      </c>
    </row>
    <row r="25" customFormat="false" ht="30" hidden="false" customHeight="true" outlineLevel="0" collapsed="false">
      <c r="B25" s="32" t="s">
        <v>179</v>
      </c>
      <c r="C25" s="26" t="s">
        <v>187</v>
      </c>
      <c r="D25" s="25" t="s">
        <v>181</v>
      </c>
      <c r="E25" s="24" t="s">
        <v>188</v>
      </c>
      <c r="F25" s="23" t="s">
        <v>189</v>
      </c>
      <c r="G25" s="25" t="s">
        <v>104</v>
      </c>
      <c r="H25" s="25" t="s">
        <v>105</v>
      </c>
      <c r="I25" s="24" t="s">
        <v>190</v>
      </c>
      <c r="J25" s="24" t="s">
        <v>185</v>
      </c>
      <c r="K25" s="24" t="s">
        <v>99</v>
      </c>
      <c r="L25" s="23" t="s">
        <v>191</v>
      </c>
    </row>
    <row r="26" customFormat="false" ht="30" hidden="false" customHeight="true" outlineLevel="0" collapsed="false">
      <c r="B26" s="32" t="s">
        <v>179</v>
      </c>
      <c r="C26" s="20" t="s">
        <v>192</v>
      </c>
      <c r="D26" s="21" t="s">
        <v>193</v>
      </c>
      <c r="E26" s="21" t="s">
        <v>194</v>
      </c>
      <c r="F26" s="20" t="s">
        <v>195</v>
      </c>
      <c r="G26" s="22" t="s">
        <v>196</v>
      </c>
      <c r="H26" s="22" t="s">
        <v>92</v>
      </c>
      <c r="I26" s="22" t="s">
        <v>134</v>
      </c>
      <c r="J26" s="21" t="s">
        <v>197</v>
      </c>
      <c r="K26" s="21" t="s">
        <v>99</v>
      </c>
      <c r="L26" s="20" t="s">
        <v>198</v>
      </c>
    </row>
    <row r="27" customFormat="false" ht="30" hidden="false" customHeight="true" outlineLevel="0" collapsed="false">
      <c r="B27" s="32" t="s">
        <v>179</v>
      </c>
      <c r="C27" s="23" t="s">
        <v>199</v>
      </c>
      <c r="D27" s="24" t="s">
        <v>193</v>
      </c>
      <c r="E27" s="24" t="s">
        <v>200</v>
      </c>
      <c r="F27" s="23" t="s">
        <v>201</v>
      </c>
      <c r="G27" s="25" t="s">
        <v>104</v>
      </c>
      <c r="H27" s="25" t="s">
        <v>92</v>
      </c>
      <c r="I27" s="25" t="s">
        <v>149</v>
      </c>
      <c r="J27" s="24" t="s">
        <v>80</v>
      </c>
      <c r="K27" s="24" t="s">
        <v>99</v>
      </c>
      <c r="L27" s="23" t="s">
        <v>202</v>
      </c>
    </row>
    <row r="28" customFormat="false" ht="30" hidden="false" customHeight="true" outlineLevel="0" collapsed="false">
      <c r="B28" s="32" t="s">
        <v>179</v>
      </c>
      <c r="C28" s="20" t="s">
        <v>203</v>
      </c>
      <c r="D28" s="22" t="s">
        <v>204</v>
      </c>
      <c r="E28" s="21" t="s">
        <v>182</v>
      </c>
      <c r="F28" s="20" t="s">
        <v>205</v>
      </c>
      <c r="G28" s="22" t="s">
        <v>104</v>
      </c>
      <c r="H28" s="22" t="s">
        <v>105</v>
      </c>
      <c r="I28" s="22" t="s">
        <v>134</v>
      </c>
      <c r="J28" s="21" t="s">
        <v>80</v>
      </c>
      <c r="K28" s="21" t="s">
        <v>99</v>
      </c>
      <c r="L28" s="20" t="s">
        <v>206</v>
      </c>
    </row>
    <row r="29" customFormat="false" ht="30" hidden="false" customHeight="true" outlineLevel="0" collapsed="false">
      <c r="B29" s="33" t="s">
        <v>207</v>
      </c>
      <c r="C29" s="20" t="s">
        <v>208</v>
      </c>
      <c r="D29" s="21" t="s">
        <v>193</v>
      </c>
      <c r="E29" s="21" t="s">
        <v>147</v>
      </c>
      <c r="F29" s="20" t="s">
        <v>209</v>
      </c>
      <c r="G29" s="22" t="s">
        <v>104</v>
      </c>
      <c r="H29" s="22" t="s">
        <v>92</v>
      </c>
      <c r="I29" s="22" t="s">
        <v>210</v>
      </c>
      <c r="J29" s="21" t="s">
        <v>80</v>
      </c>
      <c r="K29" s="21" t="s">
        <v>99</v>
      </c>
      <c r="L29" s="20" t="s">
        <v>211</v>
      </c>
    </row>
    <row r="30" customFormat="false" ht="30" hidden="false" customHeight="true" outlineLevel="0" collapsed="false">
      <c r="B30" s="33" t="s">
        <v>207</v>
      </c>
      <c r="C30" s="23" t="s">
        <v>212</v>
      </c>
      <c r="D30" s="24" t="s">
        <v>193</v>
      </c>
      <c r="E30" s="24" t="s">
        <v>147</v>
      </c>
      <c r="F30" s="23" t="s">
        <v>213</v>
      </c>
      <c r="G30" s="25" t="s">
        <v>91</v>
      </c>
      <c r="H30" s="25" t="s">
        <v>72</v>
      </c>
      <c r="I30" s="25" t="s">
        <v>210</v>
      </c>
      <c r="J30" s="24" t="s">
        <v>80</v>
      </c>
      <c r="K30" s="24" t="s">
        <v>99</v>
      </c>
      <c r="L30" s="30" t="s">
        <v>214</v>
      </c>
    </row>
    <row r="31" customFormat="false" ht="30" hidden="false" customHeight="true" outlineLevel="0" collapsed="false">
      <c r="B31" s="33" t="s">
        <v>207</v>
      </c>
      <c r="C31" s="28" t="s">
        <v>215</v>
      </c>
      <c r="D31" s="21" t="s">
        <v>193</v>
      </c>
      <c r="E31" s="21" t="s">
        <v>216</v>
      </c>
      <c r="F31" s="20" t="s">
        <v>217</v>
      </c>
      <c r="G31" s="22" t="s">
        <v>104</v>
      </c>
      <c r="H31" s="22" t="s">
        <v>92</v>
      </c>
      <c r="I31" s="22" t="s">
        <v>210</v>
      </c>
      <c r="J31" s="21" t="s">
        <v>80</v>
      </c>
      <c r="K31" s="21" t="s">
        <v>99</v>
      </c>
      <c r="L31" s="20" t="s">
        <v>218</v>
      </c>
    </row>
    <row r="32" customFormat="false" ht="30" hidden="false" customHeight="true" outlineLevel="0" collapsed="false">
      <c r="B32" s="33" t="s">
        <v>207</v>
      </c>
      <c r="C32" s="26" t="s">
        <v>219</v>
      </c>
      <c r="D32" s="24" t="s">
        <v>193</v>
      </c>
      <c r="E32" s="24" t="s">
        <v>220</v>
      </c>
      <c r="F32" s="26" t="s">
        <v>221</v>
      </c>
      <c r="G32" s="25" t="s">
        <v>91</v>
      </c>
      <c r="H32" s="25" t="s">
        <v>92</v>
      </c>
      <c r="I32" s="25" t="s">
        <v>210</v>
      </c>
      <c r="J32" s="24" t="s">
        <v>80</v>
      </c>
      <c r="K32" s="24" t="s">
        <v>99</v>
      </c>
      <c r="L32" s="23" t="s">
        <v>222</v>
      </c>
    </row>
    <row r="33" customFormat="false" ht="30" hidden="false" customHeight="true" outlineLevel="0" collapsed="false">
      <c r="B33" s="33" t="s">
        <v>207</v>
      </c>
      <c r="C33" s="28" t="s">
        <v>223</v>
      </c>
      <c r="D33" s="21" t="s">
        <v>193</v>
      </c>
      <c r="E33" s="21" t="s">
        <v>220</v>
      </c>
      <c r="F33" s="20" t="s">
        <v>224</v>
      </c>
      <c r="G33" s="22" t="s">
        <v>91</v>
      </c>
      <c r="H33" s="22" t="s">
        <v>105</v>
      </c>
      <c r="I33" s="22" t="s">
        <v>210</v>
      </c>
      <c r="J33" s="21" t="s">
        <v>80</v>
      </c>
      <c r="K33" s="21" t="s">
        <v>99</v>
      </c>
      <c r="L33" s="20" t="s">
        <v>225</v>
      </c>
    </row>
    <row r="34" customFormat="false" ht="30" hidden="false" customHeight="true" outlineLevel="0" collapsed="false">
      <c r="B34" s="33" t="s">
        <v>207</v>
      </c>
      <c r="C34" s="26" t="s">
        <v>226</v>
      </c>
      <c r="D34" s="24" t="s">
        <v>193</v>
      </c>
      <c r="E34" s="24" t="s">
        <v>152</v>
      </c>
      <c r="F34" s="23" t="s">
        <v>227</v>
      </c>
      <c r="G34" s="25" t="s">
        <v>104</v>
      </c>
      <c r="H34" s="25" t="s">
        <v>92</v>
      </c>
      <c r="I34" s="25" t="s">
        <v>210</v>
      </c>
      <c r="J34" s="24" t="s">
        <v>80</v>
      </c>
      <c r="K34" s="24" t="s">
        <v>99</v>
      </c>
      <c r="L34" s="23" t="s">
        <v>228</v>
      </c>
    </row>
    <row r="35" customFormat="false" ht="30" hidden="false" customHeight="true" outlineLevel="0" collapsed="false">
      <c r="B35" s="33" t="s">
        <v>207</v>
      </c>
      <c r="C35" s="20" t="s">
        <v>229</v>
      </c>
      <c r="D35" s="21" t="s">
        <v>193</v>
      </c>
      <c r="E35" s="21" t="s">
        <v>230</v>
      </c>
      <c r="F35" s="20" t="s">
        <v>231</v>
      </c>
      <c r="G35" s="22" t="s">
        <v>104</v>
      </c>
      <c r="H35" s="22" t="s">
        <v>105</v>
      </c>
      <c r="I35" s="22" t="s">
        <v>210</v>
      </c>
      <c r="J35" s="21" t="s">
        <v>80</v>
      </c>
      <c r="K35" s="21" t="s">
        <v>99</v>
      </c>
      <c r="L35" s="20" t="s">
        <v>232</v>
      </c>
    </row>
    <row r="36" customFormat="false" ht="30" hidden="false" customHeight="true" outlineLevel="0" collapsed="false">
      <c r="B36" s="33" t="s">
        <v>207</v>
      </c>
      <c r="C36" s="23" t="s">
        <v>233</v>
      </c>
      <c r="D36" s="24" t="s">
        <v>234</v>
      </c>
      <c r="E36" s="24" t="s">
        <v>235</v>
      </c>
      <c r="F36" s="23" t="s">
        <v>236</v>
      </c>
      <c r="G36" s="25" t="s">
        <v>104</v>
      </c>
      <c r="H36" s="25" t="s">
        <v>92</v>
      </c>
      <c r="I36" s="25" t="s">
        <v>210</v>
      </c>
      <c r="J36" s="24" t="s">
        <v>80</v>
      </c>
      <c r="K36" s="24" t="s">
        <v>99</v>
      </c>
      <c r="L36" s="30" t="s">
        <v>237</v>
      </c>
    </row>
    <row r="37" customFormat="false" ht="30" hidden="false" customHeight="true" outlineLevel="0" collapsed="false">
      <c r="B37" s="34" t="s">
        <v>238</v>
      </c>
      <c r="C37" s="20" t="s">
        <v>239</v>
      </c>
      <c r="D37" s="21" t="s">
        <v>193</v>
      </c>
      <c r="E37" s="21" t="s">
        <v>240</v>
      </c>
      <c r="F37" s="20" t="s">
        <v>241</v>
      </c>
      <c r="G37" s="22" t="s">
        <v>71</v>
      </c>
      <c r="H37" s="22" t="s">
        <v>92</v>
      </c>
      <c r="I37" s="22" t="s">
        <v>242</v>
      </c>
      <c r="J37" s="21" t="s">
        <v>80</v>
      </c>
      <c r="K37" s="22" t="s">
        <v>243</v>
      </c>
      <c r="L37" s="31" t="s">
        <v>244</v>
      </c>
    </row>
    <row r="38" customFormat="false" ht="30" hidden="false" customHeight="true" outlineLevel="0" collapsed="false">
      <c r="B38" s="34" t="s">
        <v>238</v>
      </c>
      <c r="C38" s="23" t="s">
        <v>245</v>
      </c>
      <c r="D38" s="24" t="s">
        <v>193</v>
      </c>
      <c r="E38" s="24" t="s">
        <v>246</v>
      </c>
      <c r="F38" s="26" t="s">
        <v>247</v>
      </c>
      <c r="G38" s="25" t="s">
        <v>248</v>
      </c>
      <c r="H38" s="25" t="s">
        <v>105</v>
      </c>
      <c r="I38" s="25" t="s">
        <v>249</v>
      </c>
      <c r="J38" s="24" t="s">
        <v>74</v>
      </c>
      <c r="K38" s="24" t="s">
        <v>99</v>
      </c>
      <c r="L38" s="23" t="s">
        <v>250</v>
      </c>
    </row>
    <row r="39" customFormat="false" ht="30" hidden="false" customHeight="true" outlineLevel="0" collapsed="false">
      <c r="B39" s="34" t="s">
        <v>238</v>
      </c>
      <c r="C39" s="20" t="s">
        <v>251</v>
      </c>
      <c r="D39" s="21" t="s">
        <v>193</v>
      </c>
      <c r="E39" s="21" t="s">
        <v>252</v>
      </c>
      <c r="F39" s="20" t="s">
        <v>253</v>
      </c>
      <c r="G39" s="22" t="s">
        <v>104</v>
      </c>
      <c r="H39" s="22" t="s">
        <v>105</v>
      </c>
      <c r="I39" s="22" t="s">
        <v>242</v>
      </c>
      <c r="J39" s="21" t="s">
        <v>80</v>
      </c>
      <c r="K39" s="21" t="s">
        <v>99</v>
      </c>
      <c r="L39" s="20" t="s">
        <v>254</v>
      </c>
    </row>
    <row r="40" customFormat="false" ht="30" hidden="false" customHeight="true" outlineLevel="0" collapsed="false">
      <c r="B40" s="34" t="s">
        <v>238</v>
      </c>
      <c r="C40" s="26" t="s">
        <v>255</v>
      </c>
      <c r="D40" s="24" t="s">
        <v>193</v>
      </c>
      <c r="E40" s="24" t="s">
        <v>256</v>
      </c>
      <c r="F40" s="23" t="s">
        <v>257</v>
      </c>
      <c r="G40" s="25" t="s">
        <v>104</v>
      </c>
      <c r="H40" s="25" t="s">
        <v>105</v>
      </c>
      <c r="I40" s="25" t="s">
        <v>258</v>
      </c>
      <c r="J40" s="24" t="s">
        <v>74</v>
      </c>
      <c r="K40" s="24" t="s">
        <v>99</v>
      </c>
      <c r="L40" s="23" t="s">
        <v>259</v>
      </c>
    </row>
    <row r="41" customFormat="false" ht="30" hidden="false" customHeight="true" outlineLevel="0" collapsed="false">
      <c r="B41" s="34" t="s">
        <v>238</v>
      </c>
      <c r="C41" s="20" t="s">
        <v>260</v>
      </c>
      <c r="D41" s="22" t="s">
        <v>261</v>
      </c>
      <c r="E41" s="21" t="s">
        <v>262</v>
      </c>
      <c r="F41" s="20" t="s">
        <v>263</v>
      </c>
      <c r="G41" s="22" t="s">
        <v>264</v>
      </c>
      <c r="H41" s="22" t="s">
        <v>105</v>
      </c>
      <c r="I41" s="22" t="s">
        <v>265</v>
      </c>
      <c r="J41" s="21" t="s">
        <v>80</v>
      </c>
      <c r="K41" s="21" t="s">
        <v>99</v>
      </c>
      <c r="L41" s="31" t="s">
        <v>141</v>
      </c>
    </row>
    <row r="42" customFormat="false" ht="30" hidden="false" customHeight="true" outlineLevel="0" collapsed="false">
      <c r="B42" s="34" t="s">
        <v>238</v>
      </c>
      <c r="C42" s="26" t="s">
        <v>266</v>
      </c>
      <c r="D42" s="25" t="s">
        <v>204</v>
      </c>
      <c r="E42" s="24" t="s">
        <v>267</v>
      </c>
      <c r="F42" s="23" t="s">
        <v>268</v>
      </c>
      <c r="G42" s="25" t="s">
        <v>104</v>
      </c>
      <c r="H42" s="25" t="s">
        <v>92</v>
      </c>
      <c r="I42" s="24" t="s">
        <v>269</v>
      </c>
      <c r="J42" s="24" t="s">
        <v>80</v>
      </c>
      <c r="K42" s="24" t="s">
        <v>99</v>
      </c>
      <c r="L42" s="23" t="s">
        <v>270</v>
      </c>
    </row>
    <row r="43" customFormat="false" ht="30" hidden="false" customHeight="true" outlineLevel="0" collapsed="false">
      <c r="B43" s="34" t="s">
        <v>238</v>
      </c>
      <c r="C43" s="28" t="s">
        <v>271</v>
      </c>
      <c r="D43" s="22" t="s">
        <v>261</v>
      </c>
      <c r="E43" s="21" t="s">
        <v>272</v>
      </c>
      <c r="F43" s="20" t="s">
        <v>273</v>
      </c>
      <c r="G43" s="22" t="s">
        <v>248</v>
      </c>
      <c r="H43" s="22" t="s">
        <v>105</v>
      </c>
      <c r="I43" s="22" t="s">
        <v>274</v>
      </c>
      <c r="J43" s="21" t="s">
        <v>80</v>
      </c>
      <c r="K43" s="21" t="s">
        <v>99</v>
      </c>
      <c r="L43" s="20" t="s">
        <v>275</v>
      </c>
    </row>
    <row r="44" customFormat="false" ht="30" hidden="false" customHeight="true" outlineLevel="0" collapsed="false">
      <c r="B44" s="35" t="s">
        <v>276</v>
      </c>
      <c r="C44" s="28" t="s">
        <v>277</v>
      </c>
      <c r="D44" s="22" t="s">
        <v>278</v>
      </c>
      <c r="E44" s="21" t="s">
        <v>188</v>
      </c>
      <c r="F44" s="20" t="s">
        <v>279</v>
      </c>
      <c r="G44" s="22" t="s">
        <v>264</v>
      </c>
      <c r="H44" s="22" t="s">
        <v>92</v>
      </c>
      <c r="I44" s="22" t="s">
        <v>280</v>
      </c>
      <c r="J44" s="21" t="s">
        <v>80</v>
      </c>
      <c r="K44" s="21" t="s">
        <v>99</v>
      </c>
      <c r="L44" s="20" t="s">
        <v>281</v>
      </c>
    </row>
    <row r="45" customFormat="false" ht="30" hidden="false" customHeight="true" outlineLevel="0" collapsed="false">
      <c r="B45" s="35" t="s">
        <v>276</v>
      </c>
      <c r="C45" s="26" t="s">
        <v>282</v>
      </c>
      <c r="D45" s="25" t="s">
        <v>278</v>
      </c>
      <c r="E45" s="24" t="s">
        <v>283</v>
      </c>
      <c r="F45" s="23" t="s">
        <v>284</v>
      </c>
      <c r="G45" s="25" t="s">
        <v>104</v>
      </c>
      <c r="H45" s="25" t="s">
        <v>92</v>
      </c>
      <c r="I45" s="25" t="s">
        <v>285</v>
      </c>
      <c r="J45" s="24" t="s">
        <v>80</v>
      </c>
      <c r="K45" s="24" t="s">
        <v>99</v>
      </c>
      <c r="L45" s="23" t="s">
        <v>286</v>
      </c>
    </row>
    <row r="46" customFormat="false" ht="30" hidden="false" customHeight="true" outlineLevel="0" collapsed="false">
      <c r="B46" s="35" t="s">
        <v>276</v>
      </c>
      <c r="C46" s="28" t="s">
        <v>287</v>
      </c>
      <c r="D46" s="22" t="s">
        <v>278</v>
      </c>
      <c r="E46" s="21" t="s">
        <v>188</v>
      </c>
      <c r="F46" s="20" t="s">
        <v>288</v>
      </c>
      <c r="G46" s="22" t="s">
        <v>104</v>
      </c>
      <c r="H46" s="22" t="s">
        <v>92</v>
      </c>
      <c r="I46" s="22" t="s">
        <v>144</v>
      </c>
      <c r="J46" s="21" t="s">
        <v>80</v>
      </c>
      <c r="K46" s="21" t="s">
        <v>99</v>
      </c>
      <c r="L46" s="20" t="s">
        <v>289</v>
      </c>
    </row>
    <row r="47" customFormat="false" ht="30" hidden="false" customHeight="true" outlineLevel="0" collapsed="false">
      <c r="B47" s="35" t="s">
        <v>276</v>
      </c>
      <c r="C47" s="26" t="s">
        <v>290</v>
      </c>
      <c r="D47" s="25" t="s">
        <v>278</v>
      </c>
      <c r="E47" s="24" t="s">
        <v>188</v>
      </c>
      <c r="F47" s="23" t="s">
        <v>291</v>
      </c>
      <c r="G47" s="25" t="s">
        <v>248</v>
      </c>
      <c r="H47" s="25" t="s">
        <v>105</v>
      </c>
      <c r="I47" s="25" t="s">
        <v>292</v>
      </c>
      <c r="J47" s="24" t="s">
        <v>74</v>
      </c>
      <c r="K47" s="24" t="s">
        <v>99</v>
      </c>
      <c r="L47" s="23" t="s">
        <v>293</v>
      </c>
    </row>
    <row r="48" customFormat="false" ht="30" hidden="false" customHeight="true" outlineLevel="0" collapsed="false">
      <c r="B48" s="35" t="s">
        <v>276</v>
      </c>
      <c r="C48" s="28" t="s">
        <v>294</v>
      </c>
      <c r="D48" s="22" t="s">
        <v>278</v>
      </c>
      <c r="E48" s="21" t="s">
        <v>295</v>
      </c>
      <c r="F48" s="20" t="s">
        <v>291</v>
      </c>
      <c r="G48" s="22" t="s">
        <v>248</v>
      </c>
      <c r="H48" s="22" t="s">
        <v>105</v>
      </c>
      <c r="I48" s="22" t="s">
        <v>296</v>
      </c>
      <c r="J48" s="21" t="s">
        <v>74</v>
      </c>
      <c r="K48" s="21" t="s">
        <v>135</v>
      </c>
      <c r="L48" s="20" t="s">
        <v>297</v>
      </c>
    </row>
    <row r="49" customFormat="false" ht="30" hidden="false" customHeight="true" outlineLevel="0" collapsed="false">
      <c r="B49" s="35" t="s">
        <v>276</v>
      </c>
      <c r="C49" s="26" t="s">
        <v>298</v>
      </c>
      <c r="D49" s="25" t="s">
        <v>299</v>
      </c>
      <c r="E49" s="24" t="s">
        <v>188</v>
      </c>
      <c r="F49" s="23" t="s">
        <v>288</v>
      </c>
      <c r="G49" s="25" t="s">
        <v>104</v>
      </c>
      <c r="H49" s="25" t="s">
        <v>92</v>
      </c>
      <c r="I49" s="25" t="s">
        <v>144</v>
      </c>
      <c r="J49" s="24" t="s">
        <v>80</v>
      </c>
      <c r="K49" s="24" t="s">
        <v>99</v>
      </c>
      <c r="L49" s="23" t="s">
        <v>289</v>
      </c>
    </row>
    <row r="50" customFormat="false" ht="30" hidden="false" customHeight="true" outlineLevel="0" collapsed="false">
      <c r="B50" s="35" t="s">
        <v>276</v>
      </c>
      <c r="C50" s="28" t="s">
        <v>300</v>
      </c>
      <c r="D50" s="22" t="s">
        <v>299</v>
      </c>
      <c r="E50" s="21" t="s">
        <v>188</v>
      </c>
      <c r="F50" s="20" t="s">
        <v>301</v>
      </c>
      <c r="G50" s="22" t="s">
        <v>104</v>
      </c>
      <c r="H50" s="22" t="s">
        <v>92</v>
      </c>
      <c r="I50" s="22" t="s">
        <v>144</v>
      </c>
      <c r="J50" s="21" t="s">
        <v>80</v>
      </c>
      <c r="K50" s="21" t="s">
        <v>99</v>
      </c>
      <c r="L50" s="20" t="s">
        <v>302</v>
      </c>
    </row>
    <row r="51" customFormat="false" ht="30" hidden="false" customHeight="true" outlineLevel="0" collapsed="false">
      <c r="B51" s="35" t="s">
        <v>276</v>
      </c>
      <c r="C51" s="26" t="s">
        <v>303</v>
      </c>
      <c r="D51" s="25" t="s">
        <v>299</v>
      </c>
      <c r="E51" s="24" t="s">
        <v>188</v>
      </c>
      <c r="F51" s="23" t="s">
        <v>291</v>
      </c>
      <c r="G51" s="25" t="s">
        <v>248</v>
      </c>
      <c r="H51" s="25" t="s">
        <v>105</v>
      </c>
      <c r="I51" s="25" t="s">
        <v>304</v>
      </c>
      <c r="J51" s="24" t="s">
        <v>74</v>
      </c>
      <c r="K51" s="24" t="s">
        <v>99</v>
      </c>
      <c r="L51" s="23" t="s">
        <v>305</v>
      </c>
    </row>
    <row r="52" customFormat="false" ht="30" hidden="false" customHeight="true" outlineLevel="0" collapsed="false">
      <c r="B52" s="35" t="s">
        <v>276</v>
      </c>
      <c r="C52" s="28" t="s">
        <v>306</v>
      </c>
      <c r="D52" s="22" t="s">
        <v>299</v>
      </c>
      <c r="E52" s="21" t="s">
        <v>307</v>
      </c>
      <c r="F52" s="20" t="s">
        <v>291</v>
      </c>
      <c r="G52" s="22" t="s">
        <v>248</v>
      </c>
      <c r="H52" s="22" t="s">
        <v>105</v>
      </c>
      <c r="I52" s="22" t="s">
        <v>304</v>
      </c>
      <c r="J52" s="21" t="s">
        <v>74</v>
      </c>
      <c r="K52" s="21" t="s">
        <v>99</v>
      </c>
      <c r="L52" s="20" t="s">
        <v>281</v>
      </c>
    </row>
    <row r="53" customFormat="false" ht="30" hidden="false" customHeight="true" outlineLevel="0" collapsed="false">
      <c r="B53" s="35" t="s">
        <v>276</v>
      </c>
      <c r="C53" s="26" t="s">
        <v>308</v>
      </c>
      <c r="D53" s="25" t="s">
        <v>309</v>
      </c>
      <c r="E53" s="24" t="s">
        <v>188</v>
      </c>
      <c r="F53" s="23" t="s">
        <v>301</v>
      </c>
      <c r="G53" s="25" t="s">
        <v>104</v>
      </c>
      <c r="H53" s="25" t="s">
        <v>92</v>
      </c>
      <c r="I53" s="25" t="s">
        <v>144</v>
      </c>
      <c r="J53" s="24" t="s">
        <v>80</v>
      </c>
      <c r="K53" s="24" t="s">
        <v>99</v>
      </c>
      <c r="L53" s="23" t="s">
        <v>310</v>
      </c>
    </row>
    <row r="54" customFormat="false" ht="30" hidden="false" customHeight="true" outlineLevel="0" collapsed="false">
      <c r="B54" s="35" t="s">
        <v>276</v>
      </c>
      <c r="C54" s="28" t="s">
        <v>311</v>
      </c>
      <c r="D54" s="22" t="s">
        <v>309</v>
      </c>
      <c r="E54" s="21" t="s">
        <v>188</v>
      </c>
      <c r="F54" s="20" t="s">
        <v>301</v>
      </c>
      <c r="G54" s="22" t="s">
        <v>104</v>
      </c>
      <c r="H54" s="22" t="s">
        <v>92</v>
      </c>
      <c r="I54" s="22" t="s">
        <v>144</v>
      </c>
      <c r="J54" s="21" t="s">
        <v>80</v>
      </c>
      <c r="K54" s="21" t="s">
        <v>99</v>
      </c>
      <c r="L54" s="20" t="s">
        <v>312</v>
      </c>
    </row>
    <row r="55" customFormat="false" ht="30" hidden="false" customHeight="true" outlineLevel="0" collapsed="false">
      <c r="B55" s="35" t="s">
        <v>276</v>
      </c>
      <c r="C55" s="26" t="s">
        <v>313</v>
      </c>
      <c r="D55" s="25" t="s">
        <v>309</v>
      </c>
      <c r="E55" s="24" t="s">
        <v>314</v>
      </c>
      <c r="F55" s="23" t="s">
        <v>315</v>
      </c>
      <c r="G55" s="25" t="s">
        <v>316</v>
      </c>
      <c r="H55" s="25" t="s">
        <v>92</v>
      </c>
      <c r="I55" s="24" t="s">
        <v>317</v>
      </c>
      <c r="J55" s="24" t="s">
        <v>128</v>
      </c>
      <c r="K55" s="24" t="s">
        <v>318</v>
      </c>
      <c r="L55" s="30" t="s">
        <v>319</v>
      </c>
    </row>
    <row r="56" customFormat="false" ht="30" hidden="false" customHeight="true" outlineLevel="0" collapsed="false">
      <c r="B56" s="35" t="s">
        <v>276</v>
      </c>
      <c r="C56" s="28" t="s">
        <v>320</v>
      </c>
      <c r="D56" s="22" t="s">
        <v>309</v>
      </c>
      <c r="E56" s="21" t="s">
        <v>321</v>
      </c>
      <c r="F56" s="20" t="s">
        <v>322</v>
      </c>
      <c r="G56" s="22" t="s">
        <v>104</v>
      </c>
      <c r="H56" s="22" t="s">
        <v>105</v>
      </c>
      <c r="I56" s="21" t="s">
        <v>323</v>
      </c>
      <c r="J56" s="21" t="s">
        <v>128</v>
      </c>
      <c r="K56" s="21" t="s">
        <v>318</v>
      </c>
      <c r="L56" s="20" t="s">
        <v>324</v>
      </c>
    </row>
    <row r="57" customFormat="false" ht="30" hidden="false" customHeight="true" outlineLevel="0" collapsed="false">
      <c r="B57" s="35" t="s">
        <v>276</v>
      </c>
      <c r="C57" s="26" t="s">
        <v>325</v>
      </c>
      <c r="D57" s="25" t="s">
        <v>326</v>
      </c>
      <c r="E57" s="24" t="s">
        <v>327</v>
      </c>
      <c r="F57" s="23" t="s">
        <v>328</v>
      </c>
      <c r="G57" s="25" t="s">
        <v>329</v>
      </c>
      <c r="H57" s="25" t="s">
        <v>92</v>
      </c>
      <c r="I57" s="24" t="s">
        <v>330</v>
      </c>
      <c r="J57" s="24" t="s">
        <v>74</v>
      </c>
      <c r="K57" s="24" t="s">
        <v>318</v>
      </c>
      <c r="L57" s="26" t="s">
        <v>331</v>
      </c>
    </row>
    <row r="58" customFormat="false" ht="30" hidden="false" customHeight="true" outlineLevel="0" collapsed="false">
      <c r="B58" s="35" t="s">
        <v>276</v>
      </c>
      <c r="C58" s="28" t="s">
        <v>332</v>
      </c>
      <c r="D58" s="22" t="s">
        <v>326</v>
      </c>
      <c r="E58" s="21" t="s">
        <v>188</v>
      </c>
      <c r="F58" s="20" t="s">
        <v>291</v>
      </c>
      <c r="G58" s="22" t="s">
        <v>248</v>
      </c>
      <c r="H58" s="22" t="s">
        <v>105</v>
      </c>
      <c r="I58" s="21" t="s">
        <v>333</v>
      </c>
      <c r="J58" s="21" t="s">
        <v>74</v>
      </c>
      <c r="K58" s="21" t="s">
        <v>99</v>
      </c>
      <c r="L58" s="20" t="s">
        <v>334</v>
      </c>
    </row>
    <row r="59" customFormat="false" ht="30" hidden="false" customHeight="true" outlineLevel="0" collapsed="false">
      <c r="B59" s="35" t="s">
        <v>276</v>
      </c>
      <c r="C59" s="26" t="s">
        <v>335</v>
      </c>
      <c r="D59" s="25" t="s">
        <v>326</v>
      </c>
      <c r="E59" s="24" t="s">
        <v>188</v>
      </c>
      <c r="F59" s="23" t="s">
        <v>291</v>
      </c>
      <c r="G59" s="25" t="s">
        <v>248</v>
      </c>
      <c r="H59" s="25" t="s">
        <v>105</v>
      </c>
      <c r="I59" s="25" t="s">
        <v>144</v>
      </c>
      <c r="J59" s="24" t="s">
        <v>74</v>
      </c>
      <c r="K59" s="24" t="s">
        <v>99</v>
      </c>
      <c r="L59" s="23" t="s">
        <v>336</v>
      </c>
    </row>
    <row r="60" customFormat="false" ht="30" hidden="false" customHeight="true" outlineLevel="0" collapsed="false">
      <c r="B60" s="35" t="s">
        <v>276</v>
      </c>
      <c r="C60" s="28" t="s">
        <v>337</v>
      </c>
      <c r="D60" s="22" t="s">
        <v>338</v>
      </c>
      <c r="E60" s="21" t="s">
        <v>339</v>
      </c>
      <c r="F60" s="20" t="s">
        <v>340</v>
      </c>
      <c r="G60" s="22" t="s">
        <v>341</v>
      </c>
      <c r="H60" s="22" t="s">
        <v>105</v>
      </c>
      <c r="I60" s="21" t="s">
        <v>342</v>
      </c>
      <c r="J60" s="21" t="s">
        <v>74</v>
      </c>
      <c r="K60" s="21" t="s">
        <v>99</v>
      </c>
      <c r="L60" s="20" t="s">
        <v>343</v>
      </c>
    </row>
    <row r="61" customFormat="false" ht="30" hidden="false" customHeight="true" outlineLevel="0" collapsed="false">
      <c r="B61" s="35" t="s">
        <v>276</v>
      </c>
      <c r="C61" s="26" t="s">
        <v>344</v>
      </c>
      <c r="D61" s="25" t="s">
        <v>338</v>
      </c>
      <c r="E61" s="24" t="s">
        <v>188</v>
      </c>
      <c r="F61" s="23" t="s">
        <v>291</v>
      </c>
      <c r="G61" s="25" t="s">
        <v>248</v>
      </c>
      <c r="H61" s="25" t="s">
        <v>105</v>
      </c>
      <c r="I61" s="24" t="s">
        <v>342</v>
      </c>
      <c r="J61" s="24" t="s">
        <v>74</v>
      </c>
      <c r="K61" s="24" t="s">
        <v>99</v>
      </c>
      <c r="L61" s="23" t="s">
        <v>345</v>
      </c>
    </row>
    <row r="62" customFormat="false" ht="30" hidden="false" customHeight="true" outlineLevel="0" collapsed="false">
      <c r="B62" s="35" t="s">
        <v>276</v>
      </c>
      <c r="C62" s="28" t="s">
        <v>346</v>
      </c>
      <c r="D62" s="22" t="s">
        <v>338</v>
      </c>
      <c r="E62" s="21" t="s">
        <v>347</v>
      </c>
      <c r="F62" s="20" t="s">
        <v>348</v>
      </c>
      <c r="G62" s="22" t="s">
        <v>264</v>
      </c>
      <c r="H62" s="22" t="s">
        <v>105</v>
      </c>
      <c r="I62" s="21" t="s">
        <v>349</v>
      </c>
      <c r="J62" s="21" t="s">
        <v>80</v>
      </c>
      <c r="K62" s="21" t="s">
        <v>350</v>
      </c>
      <c r="L62" s="20" t="s">
        <v>351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0"/>
  </cols>
  <sheetData>
    <row r="2" customFormat="false" ht="25.5" hidden="false" customHeight="true" outlineLevel="0" collapsed="false">
      <c r="B2" s="36" t="s">
        <v>352</v>
      </c>
      <c r="C2" s="36"/>
      <c r="D2" s="36"/>
      <c r="E2" s="36"/>
      <c r="F2" s="36"/>
      <c r="G2" s="36"/>
    </row>
    <row r="3" customFormat="false" ht="25.5" hidden="false" customHeight="true" outlineLevel="0" collapsed="false">
      <c r="B3" s="37" t="s">
        <v>353</v>
      </c>
      <c r="C3" s="37"/>
      <c r="D3" s="37"/>
      <c r="E3" s="37"/>
      <c r="F3" s="37"/>
      <c r="G3" s="37"/>
    </row>
    <row r="5" customFormat="false" ht="21.75" hidden="false" customHeight="true" outlineLevel="0" collapsed="false">
      <c r="B5" s="18" t="s">
        <v>55</v>
      </c>
      <c r="C5" s="18" t="s">
        <v>354</v>
      </c>
      <c r="D5" s="18" t="s">
        <v>355</v>
      </c>
      <c r="E5" s="18" t="s">
        <v>61</v>
      </c>
      <c r="F5" s="18" t="s">
        <v>356</v>
      </c>
      <c r="G5" s="18" t="s">
        <v>357</v>
      </c>
    </row>
    <row r="6" customFormat="false" ht="15" hidden="false" customHeight="false" outlineLevel="0" collapsed="false">
      <c r="B6" s="33" t="s">
        <v>207</v>
      </c>
      <c r="C6" s="20" t="s">
        <v>212</v>
      </c>
      <c r="D6" s="38" t="n">
        <v>1.5</v>
      </c>
      <c r="E6" s="22" t="n">
        <v>3</v>
      </c>
      <c r="F6" s="22" t="n">
        <f aca="false">D6*E6</f>
        <v>4.5</v>
      </c>
      <c r="G6" s="39" t="s">
        <v>147</v>
      </c>
    </row>
    <row r="7" customFormat="false" ht="15" hidden="false" customHeight="false" outlineLevel="0" collapsed="false">
      <c r="B7" s="33" t="s">
        <v>207</v>
      </c>
      <c r="C7" s="26" t="s">
        <v>358</v>
      </c>
      <c r="D7" s="38" t="n">
        <v>1</v>
      </c>
      <c r="E7" s="25" t="n">
        <v>2</v>
      </c>
      <c r="F7" s="25" t="n">
        <f aca="false">D7*E7</f>
        <v>2</v>
      </c>
      <c r="G7" s="40" t="s">
        <v>359</v>
      </c>
    </row>
    <row r="8" customFormat="false" ht="15" hidden="false" customHeight="false" outlineLevel="0" collapsed="false">
      <c r="B8" s="33" t="s">
        <v>207</v>
      </c>
      <c r="C8" s="28" t="s">
        <v>219</v>
      </c>
      <c r="D8" s="38" t="n">
        <v>-0.5</v>
      </c>
      <c r="E8" s="22" t="n">
        <v>2</v>
      </c>
      <c r="F8" s="22" t="n">
        <f aca="false">D8*E8</f>
        <v>-1</v>
      </c>
      <c r="G8" s="41" t="s">
        <v>360</v>
      </c>
    </row>
    <row r="9" customFormat="false" ht="15" hidden="false" customHeight="false" outlineLevel="0" collapsed="false">
      <c r="B9" s="33" t="s">
        <v>207</v>
      </c>
      <c r="C9" s="26" t="s">
        <v>226</v>
      </c>
      <c r="D9" s="38" t="n">
        <v>1</v>
      </c>
      <c r="E9" s="25" t="n">
        <v>2</v>
      </c>
      <c r="F9" s="25" t="n">
        <f aca="false">D9*E9</f>
        <v>2</v>
      </c>
      <c r="G9" s="40" t="s">
        <v>361</v>
      </c>
    </row>
    <row r="10" customFormat="false" ht="15" hidden="false" customHeight="false" outlineLevel="0" collapsed="false">
      <c r="B10" s="33" t="s">
        <v>207</v>
      </c>
      <c r="C10" s="20" t="s">
        <v>362</v>
      </c>
      <c r="D10" s="38" t="n">
        <v>1</v>
      </c>
      <c r="E10" s="22" t="n">
        <v>2</v>
      </c>
      <c r="F10" s="22" t="n">
        <f aca="false">D10*E10</f>
        <v>2</v>
      </c>
      <c r="G10" s="39" t="s">
        <v>363</v>
      </c>
    </row>
    <row r="11" customFormat="false" ht="15" hidden="false" customHeight="false" outlineLevel="0" collapsed="false">
      <c r="B11" s="32" t="s">
        <v>179</v>
      </c>
      <c r="C11" s="20" t="s">
        <v>364</v>
      </c>
      <c r="D11" s="38" t="n">
        <v>2</v>
      </c>
      <c r="E11" s="22" t="n">
        <v>3</v>
      </c>
      <c r="F11" s="22" t="n">
        <f aca="false">D11*E11</f>
        <v>6</v>
      </c>
      <c r="G11" s="39" t="s">
        <v>365</v>
      </c>
    </row>
    <row r="12" customFormat="false" ht="15" hidden="false" customHeight="false" outlineLevel="0" collapsed="false">
      <c r="B12" s="32" t="s">
        <v>179</v>
      </c>
      <c r="C12" s="23" t="s">
        <v>192</v>
      </c>
      <c r="D12" s="38" t="n">
        <v>0.5</v>
      </c>
      <c r="E12" s="25" t="n">
        <v>2</v>
      </c>
      <c r="F12" s="25" t="n">
        <f aca="false">D12*E12</f>
        <v>1</v>
      </c>
      <c r="G12" s="40" t="s">
        <v>366</v>
      </c>
    </row>
    <row r="13" customFormat="false" ht="15" hidden="false" customHeight="false" outlineLevel="0" collapsed="false">
      <c r="B13" s="32" t="s">
        <v>179</v>
      </c>
      <c r="C13" s="20" t="s">
        <v>367</v>
      </c>
      <c r="D13" s="38" t="n">
        <v>1</v>
      </c>
      <c r="E13" s="22" t="n">
        <v>2</v>
      </c>
      <c r="F13" s="22" t="n">
        <f aca="false">D13*E13</f>
        <v>2</v>
      </c>
      <c r="G13" s="39" t="s">
        <v>368</v>
      </c>
    </row>
    <row r="14" customFormat="false" ht="15" hidden="false" customHeight="false" outlineLevel="0" collapsed="false">
      <c r="B14" s="35" t="s">
        <v>276</v>
      </c>
      <c r="C14" s="28" t="s">
        <v>277</v>
      </c>
      <c r="D14" s="38" t="n">
        <v>1</v>
      </c>
      <c r="E14" s="22" t="n">
        <v>2</v>
      </c>
      <c r="F14" s="22" t="n">
        <f aca="false">D14*E14</f>
        <v>2</v>
      </c>
      <c r="G14" s="39" t="s">
        <v>188</v>
      </c>
    </row>
    <row r="15" customFormat="false" ht="15" hidden="false" customHeight="false" outlineLevel="0" collapsed="false">
      <c r="B15" s="35" t="s">
        <v>276</v>
      </c>
      <c r="C15" s="26" t="s">
        <v>369</v>
      </c>
      <c r="D15" s="38" t="n">
        <v>1</v>
      </c>
      <c r="E15" s="25" t="n">
        <v>2</v>
      </c>
      <c r="F15" s="25" t="n">
        <f aca="false">D15*E15</f>
        <v>2</v>
      </c>
      <c r="G15" s="40" t="s">
        <v>283</v>
      </c>
    </row>
    <row r="16" customFormat="false" ht="15" hidden="false" customHeight="false" outlineLevel="0" collapsed="false">
      <c r="B16" s="35" t="s">
        <v>276</v>
      </c>
      <c r="C16" s="28" t="s">
        <v>287</v>
      </c>
      <c r="D16" s="38" t="n">
        <v>-1</v>
      </c>
      <c r="E16" s="22" t="n">
        <v>2</v>
      </c>
      <c r="F16" s="22" t="n">
        <f aca="false">D16*E16</f>
        <v>-2</v>
      </c>
      <c r="G16" s="39" t="s">
        <v>370</v>
      </c>
    </row>
    <row r="17" customFormat="false" ht="15" hidden="false" customHeight="false" outlineLevel="0" collapsed="false">
      <c r="B17" s="34" t="s">
        <v>238</v>
      </c>
      <c r="C17" s="20" t="s">
        <v>239</v>
      </c>
      <c r="D17" s="38" t="n">
        <v>-0.5</v>
      </c>
      <c r="E17" s="22" t="n">
        <v>2</v>
      </c>
      <c r="F17" s="22" t="n">
        <f aca="false">D17*E17</f>
        <v>-1</v>
      </c>
      <c r="G17" s="39" t="s">
        <v>371</v>
      </c>
    </row>
    <row r="18" customFormat="false" ht="15" hidden="false" customHeight="false" outlineLevel="0" collapsed="false">
      <c r="B18" s="34" t="s">
        <v>238</v>
      </c>
      <c r="C18" s="23" t="s">
        <v>251</v>
      </c>
      <c r="D18" s="38" t="n">
        <v>0</v>
      </c>
      <c r="E18" s="25" t="n">
        <v>1</v>
      </c>
      <c r="F18" s="25" t="n">
        <f aca="false">D18*E18</f>
        <v>0</v>
      </c>
      <c r="G18" s="40" t="s">
        <v>372</v>
      </c>
    </row>
    <row r="19" customFormat="false" ht="15" hidden="false" customHeight="false" outlineLevel="0" collapsed="false">
      <c r="B19" s="34" t="s">
        <v>238</v>
      </c>
      <c r="C19" s="28" t="s">
        <v>373</v>
      </c>
      <c r="D19" s="38" t="n">
        <v>-0.5</v>
      </c>
      <c r="E19" s="22" t="n">
        <v>1</v>
      </c>
      <c r="F19" s="22" t="n">
        <f aca="false">D19*E19</f>
        <v>-0.5</v>
      </c>
      <c r="G19" s="39" t="s">
        <v>374</v>
      </c>
    </row>
    <row r="21" customFormat="false" ht="15" hidden="false" customHeight="false" outlineLevel="0" collapsed="false">
      <c r="B21" s="42" t="s">
        <v>375</v>
      </c>
      <c r="C21" s="42"/>
      <c r="D21" s="42"/>
      <c r="E21" s="42"/>
      <c r="F21" s="42"/>
      <c r="G21" s="42"/>
    </row>
    <row r="22" customFormat="false" ht="15" hidden="false" customHeight="false" outlineLevel="0" collapsed="false">
      <c r="B22" s="33" t="s">
        <v>207</v>
      </c>
      <c r="C22" s="12" t="s">
        <v>376</v>
      </c>
      <c r="D22" s="43" t="n">
        <f aca="false">SUMPRODUCT(D6:D10,E6:E10)/SUM(E6:E10)</f>
        <v>0.863636363636364</v>
      </c>
      <c r="E22" s="44" t="n">
        <v>0.35</v>
      </c>
      <c r="F22" s="11" t="n">
        <f aca="false">D22*E22</f>
        <v>0.302272727272727</v>
      </c>
      <c r="G22" s="45" t="s">
        <v>377</v>
      </c>
    </row>
    <row r="23" customFormat="false" ht="15" hidden="false" customHeight="false" outlineLevel="0" collapsed="false">
      <c r="B23" s="32" t="s">
        <v>179</v>
      </c>
      <c r="C23" s="12" t="s">
        <v>378</v>
      </c>
      <c r="D23" s="43" t="n">
        <f aca="false">SUMPRODUCT(D11:D13,E11:E13)/SUM(E11:E13)</f>
        <v>1.28571428571429</v>
      </c>
      <c r="E23" s="44" t="n">
        <v>0.25</v>
      </c>
      <c r="F23" s="11" t="n">
        <f aca="false">D23*E23</f>
        <v>0.321428571428571</v>
      </c>
      <c r="G23" s="45" t="s">
        <v>377</v>
      </c>
    </row>
    <row r="24" customFormat="false" ht="15" hidden="false" customHeight="false" outlineLevel="0" collapsed="false">
      <c r="B24" s="35" t="s">
        <v>276</v>
      </c>
      <c r="C24" s="12" t="s">
        <v>379</v>
      </c>
      <c r="D24" s="43" t="n">
        <f aca="false">SUMPRODUCT(D14:D16,E14:E16)/SUM(E14:E16)</f>
        <v>0.333333333333333</v>
      </c>
      <c r="E24" s="44" t="n">
        <v>0.2</v>
      </c>
      <c r="F24" s="11" t="n">
        <f aca="false">D24*E24</f>
        <v>0.0666666666666667</v>
      </c>
      <c r="G24" s="45" t="s">
        <v>377</v>
      </c>
    </row>
    <row r="25" customFormat="false" ht="15" hidden="false" customHeight="false" outlineLevel="0" collapsed="false">
      <c r="B25" s="34" t="s">
        <v>238</v>
      </c>
      <c r="C25" s="12" t="s">
        <v>379</v>
      </c>
      <c r="D25" s="43" t="n">
        <f aca="false">SUMPRODUCT(D17:D19,E17:E19)/SUM(E17:E19)</f>
        <v>-0.375</v>
      </c>
      <c r="E25" s="44" t="n">
        <v>0.2</v>
      </c>
      <c r="F25" s="11" t="n">
        <f aca="false">D25*E25</f>
        <v>-0.075</v>
      </c>
      <c r="G25" s="45" t="s">
        <v>377</v>
      </c>
    </row>
    <row r="27" customFormat="false" ht="15" hidden="false" customHeight="false" outlineLevel="0" collapsed="false">
      <c r="B27" s="42" t="s">
        <v>380</v>
      </c>
      <c r="C27" s="42"/>
      <c r="D27" s="42"/>
      <c r="E27" s="42"/>
      <c r="F27" s="46" t="n">
        <f aca="false">SUM(F22:F25)</f>
        <v>0.615367965367965</v>
      </c>
      <c r="G27" s="47" t="s">
        <v>381</v>
      </c>
    </row>
    <row r="29" customFormat="false" ht="15" hidden="false" customHeight="true" outlineLevel="0" collapsed="false">
      <c r="B29" s="48" t="s">
        <v>382</v>
      </c>
      <c r="C29" s="48"/>
      <c r="D29" s="48"/>
      <c r="E29" s="48"/>
      <c r="F29" s="48"/>
      <c r="G29" s="48"/>
    </row>
    <row r="30" customFormat="false" ht="15" hidden="false" customHeight="false" outlineLevel="0" collapsed="false">
      <c r="B30" s="49" t="s">
        <v>383</v>
      </c>
      <c r="D30" s="38" t="n">
        <v>0.6</v>
      </c>
      <c r="E30" s="50" t="s">
        <v>384</v>
      </c>
    </row>
    <row r="31" customFormat="false" ht="15" hidden="false" customHeight="false" outlineLevel="0" collapsed="false">
      <c r="B31" s="49" t="s">
        <v>385</v>
      </c>
      <c r="D31" s="38" t="n">
        <v>0.8</v>
      </c>
      <c r="E31" s="50" t="s">
        <v>384</v>
      </c>
    </row>
    <row r="32" customFormat="false" ht="15" hidden="false" customHeight="false" outlineLevel="0" collapsed="false">
      <c r="B32" s="51" t="s">
        <v>386</v>
      </c>
      <c r="D32" s="52" t="n">
        <f aca="false">(D30*0.5+D31*0.5)/2</f>
        <v>0.35</v>
      </c>
      <c r="E32" s="50" t="s">
        <v>387</v>
      </c>
    </row>
    <row r="33" customFormat="false" ht="15" hidden="false" customHeight="false" outlineLevel="0" collapsed="false">
      <c r="B33" s="53" t="s">
        <v>388</v>
      </c>
      <c r="D33" s="52" t="n">
        <f aca="false">IF(D32&gt;0.3,1.1,IF(D32&lt;-0.3,0.5,0.85))</f>
        <v>1.1</v>
      </c>
      <c r="E33" s="54" t="s">
        <v>389</v>
      </c>
    </row>
    <row r="35" customFormat="false" ht="17.15" hidden="false" customHeight="true" outlineLevel="0" collapsed="false">
      <c r="B35" s="55" t="s">
        <v>390</v>
      </c>
      <c r="C35" s="55"/>
      <c r="D35" s="55"/>
      <c r="E35" s="55"/>
      <c r="F35" s="56" t="n">
        <f aca="false">F27*D33</f>
        <v>0.676904761904762</v>
      </c>
    </row>
    <row r="36" customFormat="false" ht="17.15" hidden="false" customHeight="false" outlineLevel="0" collapsed="false">
      <c r="B36" s="57" t="s">
        <v>391</v>
      </c>
      <c r="D36" s="58" t="str">
        <f aca="false">IF(F35&gt;=1,"强烈看多 / 加仓",IF(F35&gt;=0.4,"看多 / 建仓",IF(F35&gt;-0.4,"中性 / 观望",IF(F35&gt;-1,"看空 / 减仓","强烈看空 / 清仓"))))</f>
        <v>看多 / 建仓</v>
      </c>
      <c r="E36" s="58"/>
      <c r="F36" s="58"/>
      <c r="G36" s="58"/>
    </row>
    <row r="38" customFormat="false" ht="25.5" hidden="false" customHeight="true" outlineLevel="0" collapsed="false">
      <c r="B38" s="59" t="s">
        <v>392</v>
      </c>
      <c r="C38" s="59"/>
      <c r="D38" s="59"/>
      <c r="E38" s="59"/>
      <c r="F38" s="59"/>
      <c r="G38" s="59"/>
    </row>
  </sheetData>
  <mergeCells count="8">
    <mergeCell ref="B2:G2"/>
    <mergeCell ref="B3:G3"/>
    <mergeCell ref="B21:G21"/>
    <mergeCell ref="B27:E27"/>
    <mergeCell ref="B29:G29"/>
    <mergeCell ref="B35:E35"/>
    <mergeCell ref="D36:G36"/>
    <mergeCell ref="B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2026-07-20T05:51:54Z</dcterms:created>
  <dc:creator>openpyxl</dc:creator>
  <dc:description/>
  <dc:language>en-US</dc:language>
  <cp:lastModifiedBy/>
  <dcterms:modified xsi:type="dcterms:W3CDTF">2026-07-20T05:51:54Z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